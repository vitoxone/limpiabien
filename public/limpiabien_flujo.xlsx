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icios" sheetId="1" r:id="rId5"/>
    <sheet state="visible" name="Gastos" sheetId="2" r:id="rId6"/>
    <sheet state="hidden" name="Semanal" sheetId="3" r:id="rId7"/>
    <sheet state="visible" name="Mensual" sheetId="4" r:id="rId8"/>
    <sheet state="visible" name="graficos" sheetId="5" r:id="rId9"/>
  </sheets>
  <definedNames/>
  <calcPr/>
</workbook>
</file>

<file path=xl/sharedStrings.xml><?xml version="1.0" encoding="utf-8"?>
<sst xmlns="http://schemas.openxmlformats.org/spreadsheetml/2006/main" count="1072" uniqueCount="374">
  <si>
    <t>Fecha</t>
  </si>
  <si>
    <t>Cliente</t>
  </si>
  <si>
    <t>Ciudad</t>
  </si>
  <si>
    <t>Ubicación</t>
  </si>
  <si>
    <t>Servicio</t>
  </si>
  <si>
    <t>Cantidad</t>
  </si>
  <si>
    <t>Precio unitario</t>
  </si>
  <si>
    <t>Total</t>
  </si>
  <si>
    <t>Medio de pago</t>
  </si>
  <si>
    <t>Pagado</t>
  </si>
  <si>
    <t>Notas</t>
  </si>
  <si>
    <t>Mes</t>
  </si>
  <si>
    <t>Año</t>
  </si>
  <si>
    <t>Semana</t>
  </si>
  <si>
    <t>Columna 1</t>
  </si>
  <si>
    <t>Catalina</t>
  </si>
  <si>
    <t>Nancagua</t>
  </si>
  <si>
    <t>nancagua</t>
  </si>
  <si>
    <t>Lavado Alfombra</t>
  </si>
  <si>
    <t>Efectivo</t>
  </si>
  <si>
    <t>si</t>
  </si>
  <si>
    <t>Conocido</t>
  </si>
  <si>
    <t>Web</t>
  </si>
  <si>
    <t>Eva Gonzalez</t>
  </si>
  <si>
    <t>Santa Cruz</t>
  </si>
  <si>
    <t>santa cruz</t>
  </si>
  <si>
    <t>Lavado alfombra muro a muro y escaleras</t>
  </si>
  <si>
    <t>Transferencia</t>
  </si>
  <si>
    <t>Instagram</t>
  </si>
  <si>
    <t>Vale garcía</t>
  </si>
  <si>
    <t>Chimbarongo</t>
  </si>
  <si>
    <t>Sillon y 3 sillas</t>
  </si>
  <si>
    <t>Referidos</t>
  </si>
  <si>
    <t>Amparo Ortiz</t>
  </si>
  <si>
    <t>Tapiz auto hachtback</t>
  </si>
  <si>
    <t>Cocnocido</t>
  </si>
  <si>
    <t>Maria paredes</t>
  </si>
  <si>
    <t>San Fernando</t>
  </si>
  <si>
    <t>Sillones y sillas</t>
  </si>
  <si>
    <t>Danilo Gonzalez</t>
  </si>
  <si>
    <t>Sillon</t>
  </si>
  <si>
    <t>Daniela Vergara</t>
  </si>
  <si>
    <t>Sillón y 2 alfombras</t>
  </si>
  <si>
    <t>Lore hernandez</t>
  </si>
  <si>
    <t>2 sillones 1 alfombra</t>
  </si>
  <si>
    <t>Camila Oyarce</t>
  </si>
  <si>
    <t>1 colchón 2 plazas</t>
  </si>
  <si>
    <t>Gisel</t>
  </si>
  <si>
    <t>Claudia Canizares</t>
  </si>
  <si>
    <t>Escalera y pasillo</t>
  </si>
  <si>
    <t>Carlos Rivera</t>
  </si>
  <si>
    <t>Sillon 4 cuerpos L</t>
  </si>
  <si>
    <t>Adriana Castillo</t>
  </si>
  <si>
    <t>Santa cruz</t>
  </si>
  <si>
    <t>colchon 1 plaza</t>
  </si>
  <si>
    <t>Ange Farias</t>
  </si>
  <si>
    <t>Sillón 2 cuerpos</t>
  </si>
  <si>
    <t>Daniel Lobos</t>
  </si>
  <si>
    <t>colchon king</t>
  </si>
  <si>
    <t>Angela Urrea</t>
  </si>
  <si>
    <t>Tinguiririca</t>
  </si>
  <si>
    <t>Colchon 2 plazas 1 cara</t>
  </si>
  <si>
    <t>Leyla Solis</t>
  </si>
  <si>
    <t>Sillón 3 cuerpos</t>
  </si>
  <si>
    <t>Mane Araos</t>
  </si>
  <si>
    <t xml:space="preserve">2 Sillon 2 cuerpos </t>
  </si>
  <si>
    <t>Si</t>
  </si>
  <si>
    <t>Catherine Muñoz</t>
  </si>
  <si>
    <t>Carrizal</t>
  </si>
  <si>
    <t>Auto hachtback</t>
  </si>
  <si>
    <t>Gissele Rivas</t>
  </si>
  <si>
    <t>Colchon 2 plazas 2 caras</t>
  </si>
  <si>
    <t>Claudia Pavez</t>
  </si>
  <si>
    <t>1 sillón 3 cuerpos 2 un cuerpo</t>
  </si>
  <si>
    <t>Julia Acevedo</t>
  </si>
  <si>
    <t>EL guindo</t>
  </si>
  <si>
    <t>1 colchon 2 plazas, 1 colchon 1.5, sill+on 2 cuerpos y sillón 1 cuerpo</t>
  </si>
  <si>
    <t>Mony García</t>
  </si>
  <si>
    <t>Sillón 4 cuerpos seccional</t>
  </si>
  <si>
    <t>Maria Ernestina Paredes</t>
  </si>
  <si>
    <t>EL Guindo Alto</t>
  </si>
  <si>
    <t>Sillón 2 cuerpos, sillón 3 cuerpos</t>
  </si>
  <si>
    <t>AlexBarberClub</t>
  </si>
  <si>
    <t>Sillón 1 cuerpo</t>
  </si>
  <si>
    <t>Mabe</t>
  </si>
  <si>
    <t>Sillón 3 cuerpos, 2 sillón 1 cuerpo, 5 sillas</t>
  </si>
  <si>
    <t>Carlita Moreira</t>
  </si>
  <si>
    <t>San fernando</t>
  </si>
  <si>
    <t>Sillón 3 cuerpos x 2, escaleta 10 peldaños</t>
  </si>
  <si>
    <t>Isidora Ruiz de Gamboa</t>
  </si>
  <si>
    <t>Sillón 3 cuerpos, sillón 2 cuerpos</t>
  </si>
  <si>
    <t>Veronica sepulveda</t>
  </si>
  <si>
    <t>Colchon 2 plazas</t>
  </si>
  <si>
    <t>Ursula gallardo</t>
  </si>
  <si>
    <t>Respaldo cama 2 plazas</t>
  </si>
  <si>
    <t>Erick zahlhaas</t>
  </si>
  <si>
    <t>Sillón seccional 4 cuerpos</t>
  </si>
  <si>
    <t>Fernanda</t>
  </si>
  <si>
    <t>Puquillay Bajo</t>
  </si>
  <si>
    <t>3 alfombras</t>
  </si>
  <si>
    <t>Bárbara Vilches</t>
  </si>
  <si>
    <t>6 sillas</t>
  </si>
  <si>
    <t>Alex Muñoz</t>
  </si>
  <si>
    <t>Colchón king</t>
  </si>
  <si>
    <t>Danita Castro</t>
  </si>
  <si>
    <t>Maria José Garcia</t>
  </si>
  <si>
    <t>Manantiales</t>
  </si>
  <si>
    <t>3 sillones</t>
  </si>
  <si>
    <t>Julie Gonzales</t>
  </si>
  <si>
    <t>Sillón 5 cuerpos</t>
  </si>
  <si>
    <t>Katherine Alejandra</t>
  </si>
  <si>
    <t>Sillón</t>
  </si>
  <si>
    <t>Alfombra</t>
  </si>
  <si>
    <t>Jose matias donoso</t>
  </si>
  <si>
    <t>Chomedahue</t>
  </si>
  <si>
    <t>Colchón 2 plazas</t>
  </si>
  <si>
    <t>Patricia Mondaca</t>
  </si>
  <si>
    <t>Karin rojas</t>
  </si>
  <si>
    <t>Denisse Gomez</t>
  </si>
  <si>
    <t>Lo Carreño</t>
  </si>
  <si>
    <t>Sillón y 6 sillas</t>
  </si>
  <si>
    <t>Elisa Orellana</t>
  </si>
  <si>
    <t>Rosi cespedes</t>
  </si>
  <si>
    <t>Chépica</t>
  </si>
  <si>
    <t>Braulio Galvez</t>
  </si>
  <si>
    <t>Camioneta</t>
  </si>
  <si>
    <t>Eli Grossman</t>
  </si>
  <si>
    <t>1 auto</t>
  </si>
  <si>
    <t>Camila lorca</t>
  </si>
  <si>
    <t>El Guindo</t>
  </si>
  <si>
    <t>seccional 4 cuerpos</t>
  </si>
  <si>
    <t>Paula Leyton</t>
  </si>
  <si>
    <t>Camila Lorca</t>
  </si>
  <si>
    <t>El guindo</t>
  </si>
  <si>
    <t>Jona</t>
  </si>
  <si>
    <t>Suv 3 corridas</t>
  </si>
  <si>
    <t>Nati Quiroga</t>
  </si>
  <si>
    <t>La Paloma</t>
  </si>
  <si>
    <t>SIllón y sillas</t>
  </si>
  <si>
    <t>Antonella Quintanilla</t>
  </si>
  <si>
    <t>La cuesta</t>
  </si>
  <si>
    <t>2 sillón 2 cuerpos</t>
  </si>
  <si>
    <t>Mauricio Cornejo Celsi</t>
  </si>
  <si>
    <t>Sillón + jeep</t>
  </si>
  <si>
    <t>Juan José Aranda Mela</t>
  </si>
  <si>
    <t>Nicol fernandez</t>
  </si>
  <si>
    <t>Sillón 2 cuerpos - sillón 3 cuerpos</t>
  </si>
  <si>
    <t>kathy Lizana</t>
  </si>
  <si>
    <t>Talcarehue</t>
  </si>
  <si>
    <t>sillón 4 cuerpos - 6 sillas</t>
  </si>
  <si>
    <t>Darneiry Graterol</t>
  </si>
  <si>
    <t>Sillón 4 cuerpos</t>
  </si>
  <si>
    <t>Tamara Apablaza</t>
  </si>
  <si>
    <t>Macarena Fernandez</t>
  </si>
  <si>
    <t>Angostura</t>
  </si>
  <si>
    <t>sillon 2 cuerpos</t>
  </si>
  <si>
    <t>Karla Urrutia</t>
  </si>
  <si>
    <t>Silla escritorio</t>
  </si>
  <si>
    <t>Robbie Takher</t>
  </si>
  <si>
    <t xml:space="preserve">Francisco Correa </t>
  </si>
  <si>
    <t>Auto sedán</t>
  </si>
  <si>
    <t>Jessica Verdugo</t>
  </si>
  <si>
    <t>San Enrique</t>
  </si>
  <si>
    <t>Nataly</t>
  </si>
  <si>
    <t>Los lingues</t>
  </si>
  <si>
    <t>2 sillon 2 cuerpos</t>
  </si>
  <si>
    <t>Patricia Jimenez</t>
  </si>
  <si>
    <t>Isla Yaquil</t>
  </si>
  <si>
    <t>Karla Rodriguez</t>
  </si>
  <si>
    <t>Sillon seccional</t>
  </si>
  <si>
    <t>Monica Guglielmi</t>
  </si>
  <si>
    <t>Placilla</t>
  </si>
  <si>
    <t>sillón 3 cuerpos</t>
  </si>
  <si>
    <t>Maria Cristina</t>
  </si>
  <si>
    <t>sillon 3 cuerpos</t>
  </si>
  <si>
    <t>Tamara Aguayo</t>
  </si>
  <si>
    <t>colchon 2 plazas</t>
  </si>
  <si>
    <t>Abner Diaz</t>
  </si>
  <si>
    <t>set living</t>
  </si>
  <si>
    <t xml:space="preserve">
Renata Diaz</t>
  </si>
  <si>
    <t>Katherine Alarcon</t>
  </si>
  <si>
    <t xml:space="preserve">
Lore Fariña</t>
  </si>
  <si>
    <t xml:space="preserve">Maria Jesus montero </t>
  </si>
  <si>
    <t>chepica</t>
  </si>
  <si>
    <t>Aguas Calientes</t>
  </si>
  <si>
    <t>Soledad Ubilla</t>
  </si>
  <si>
    <t>Colchon 1.5</t>
  </si>
  <si>
    <t xml:space="preserve">
Consuelo Barahona</t>
  </si>
  <si>
    <t>Lucila Espinoza Sillón</t>
  </si>
  <si>
    <t>Valentina Riu</t>
  </si>
  <si>
    <t>2 sillón 2 cuerpos y alfmbra</t>
  </si>
  <si>
    <t>Amalia</t>
  </si>
  <si>
    <t xml:space="preserve">colchon 2 plazas </t>
  </si>
  <si>
    <t>Karen Miralaf</t>
  </si>
  <si>
    <t>sillón 1 cuerpo</t>
  </si>
  <si>
    <t>Jose ignacio Lorca</t>
  </si>
  <si>
    <t>Eugenio Valenzuela</t>
  </si>
  <si>
    <t>Alejandra Zapata</t>
  </si>
  <si>
    <t>Puente negro</t>
  </si>
  <si>
    <t xml:space="preserve">Maria Jose Navarro </t>
  </si>
  <si>
    <t>2 sillón 3 cuerpos</t>
  </si>
  <si>
    <t>Carla Acevedo</t>
  </si>
  <si>
    <t>Isla el guindo</t>
  </si>
  <si>
    <t>sillón 2 cuerpos</t>
  </si>
  <si>
    <t>Alfombra mediana</t>
  </si>
  <si>
    <t>buses valenzuela</t>
  </si>
  <si>
    <t>bus 34 asientos</t>
  </si>
  <si>
    <t>Javier Maldonado</t>
  </si>
  <si>
    <t>Mca Peralillo</t>
  </si>
  <si>
    <t>Peralillo</t>
  </si>
  <si>
    <t>Carlos Bravo</t>
  </si>
  <si>
    <t>Living completo</t>
  </si>
  <si>
    <t>Vania Estefaní</t>
  </si>
  <si>
    <t>V silva Alajandra</t>
  </si>
  <si>
    <t>Jazmin Diaz</t>
  </si>
  <si>
    <t>Suv mediana</t>
  </si>
  <si>
    <t>Deniss Muñoz</t>
  </si>
  <si>
    <t>Living completo + 2 autos</t>
  </si>
  <si>
    <t>Natalia Padilla</t>
  </si>
  <si>
    <t>cristian lopez</t>
  </si>
  <si>
    <t>Vane</t>
  </si>
  <si>
    <t>Andrea</t>
  </si>
  <si>
    <t>El Huique</t>
  </si>
  <si>
    <t>2 camionetas</t>
  </si>
  <si>
    <t>Katherine salinas</t>
  </si>
  <si>
    <t>Soledad</t>
  </si>
  <si>
    <t>San Antonio</t>
  </si>
  <si>
    <t>piso alfombrado</t>
  </si>
  <si>
    <t>Maximiliano Lanzellote</t>
  </si>
  <si>
    <t>Yise Millacaris</t>
  </si>
  <si>
    <t>San Gregorio</t>
  </si>
  <si>
    <t>Auto suv mediana</t>
  </si>
  <si>
    <t>Karen pavez trujillo</t>
  </si>
  <si>
    <t>Paola Garay</t>
  </si>
  <si>
    <t>Los boldos</t>
  </si>
  <si>
    <t>auto sedán</t>
  </si>
  <si>
    <t>Estephanie Cornejo</t>
  </si>
  <si>
    <t>Maria moraga gonzalez</t>
  </si>
  <si>
    <t xml:space="preserve">2 Sillón 2 cuerpos </t>
  </si>
  <si>
    <t>benjamin santander</t>
  </si>
  <si>
    <t>Villa Parronales</t>
  </si>
  <si>
    <t>Maria eva Muñoz</t>
  </si>
  <si>
    <t>Catherine sierra</t>
  </si>
  <si>
    <t>marcela valenzuela</t>
  </si>
  <si>
    <t>Alejandra peñailillo</t>
  </si>
  <si>
    <t xml:space="preserve">Jocelyn quiroz </t>
  </si>
  <si>
    <t>Cuesta</t>
  </si>
  <si>
    <t>Marcela perez</t>
  </si>
  <si>
    <t>Villa Miraflores</t>
  </si>
  <si>
    <t>Carla Caroca</t>
  </si>
  <si>
    <t>Villa los maitenes</t>
  </si>
  <si>
    <t>colchon 2 plazas 1 cara</t>
  </si>
  <si>
    <t>yackie</t>
  </si>
  <si>
    <t>Alfombra decorativa</t>
  </si>
  <si>
    <t>Andrea Fuenzalida</t>
  </si>
  <si>
    <t>Villa parque poniente</t>
  </si>
  <si>
    <t>Nathalie Bozo</t>
  </si>
  <si>
    <t>Puente Negro</t>
  </si>
  <si>
    <t xml:space="preserve">Jezy </t>
  </si>
  <si>
    <t>Carolina Ferreira</t>
  </si>
  <si>
    <t>Cata Donoso</t>
  </si>
  <si>
    <t>El carmen</t>
  </si>
  <si>
    <t>2 autos</t>
  </si>
  <si>
    <t>Karlos p Galvez</t>
  </si>
  <si>
    <t>2 sillón 1 cuerpo</t>
  </si>
  <si>
    <t>Daniela Ubierna</t>
  </si>
  <si>
    <t>Sillón y 4 sillas</t>
  </si>
  <si>
    <t xml:space="preserve">Santi </t>
  </si>
  <si>
    <t>Población Gabriela Mistral</t>
  </si>
  <si>
    <t>katherine alejandra</t>
  </si>
  <si>
    <t>1 escalera mediana</t>
  </si>
  <si>
    <t>ana karina aranguiz</t>
  </si>
  <si>
    <t>Evelyn Tobar</t>
  </si>
  <si>
    <t>camioneta y colchón</t>
  </si>
  <si>
    <t>Carolina Celis</t>
  </si>
  <si>
    <t>Sandra Ivonne</t>
  </si>
  <si>
    <t>Piso alfombrado</t>
  </si>
  <si>
    <t>Cristina Labbe</t>
  </si>
  <si>
    <t>Palmilla</t>
  </si>
  <si>
    <t>Romi</t>
  </si>
  <si>
    <t xml:space="preserve">akeyori </t>
  </si>
  <si>
    <t>María josé Nuñez</t>
  </si>
  <si>
    <t>Rocio</t>
  </si>
  <si>
    <t>Paula Cornejo</t>
  </si>
  <si>
    <t>colchon super king</t>
  </si>
  <si>
    <t>Mayerling</t>
  </si>
  <si>
    <t>Andrea correa</t>
  </si>
  <si>
    <t>Jose ignacio jorquera</t>
  </si>
  <si>
    <t>Alfombra chica</t>
  </si>
  <si>
    <t>Claudia Rodriguez</t>
  </si>
  <si>
    <t>Alfombra grande</t>
  </si>
  <si>
    <t>Categoría</t>
  </si>
  <si>
    <t>Descripción</t>
  </si>
  <si>
    <t>Monto</t>
  </si>
  <si>
    <t>Arriendo</t>
  </si>
  <si>
    <t>Abrillatadora</t>
  </si>
  <si>
    <t>tarjeta</t>
  </si>
  <si>
    <t>pago</t>
  </si>
  <si>
    <t>pago Joan</t>
  </si>
  <si>
    <t>Combustible</t>
  </si>
  <si>
    <t>Bencina</t>
  </si>
  <si>
    <t>Publicidad</t>
  </si>
  <si>
    <t>Facebook</t>
  </si>
  <si>
    <t>mercado pago</t>
  </si>
  <si>
    <t>mecado pago</t>
  </si>
  <si>
    <t>insumos</t>
  </si>
  <si>
    <t>alianzaAdn</t>
  </si>
  <si>
    <t>cuenta corriente</t>
  </si>
  <si>
    <t>Materiales</t>
  </si>
  <si>
    <t>Tubos grises</t>
  </si>
  <si>
    <t>Activos</t>
  </si>
  <si>
    <t>Limpiadora a vapor karcher</t>
  </si>
  <si>
    <t>Mercado pago</t>
  </si>
  <si>
    <t>Percarbonato</t>
  </si>
  <si>
    <t>Parámetros</t>
  </si>
  <si>
    <t>Ingresos por servicios</t>
  </si>
  <si>
    <t>Otros ingresos</t>
  </si>
  <si>
    <t>Total ingresos</t>
  </si>
  <si>
    <t>Costos variables (insumos)</t>
  </si>
  <si>
    <t>Sueldos</t>
  </si>
  <si>
    <t>Otros gastos fijos</t>
  </si>
  <si>
    <t>Total egresos</t>
  </si>
  <si>
    <t>Flujo neto</t>
  </si>
  <si>
    <t>Saldo acumulado</t>
  </si>
  <si>
    <t>Mes (número)</t>
  </si>
  <si>
    <t>Semana 3</t>
  </si>
  <si>
    <t>Resumen Semanal (según Mes/Año arriba)</t>
  </si>
  <si>
    <t>Semana 5</t>
  </si>
  <si>
    <t>Semana 1</t>
  </si>
  <si>
    <t>Semana 2</t>
  </si>
  <si>
    <t>Semana 4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</si>
  <si>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</si>
  <si>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</si>
  <si>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</si>
  <si>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</si>
  <si>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</si>
  <si>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</si>
  <si>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</si>
  <si>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</si>
  <si>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</si>
  <si>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</si>
  <si>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</si>
  <si>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</si>
  <si>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</si>
  <si>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</si>
  <si>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</si>
  <si>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Semana 21</t>
  </si>
  <si>
    <t>Semana 22</t>
  </si>
  <si>
    <t>Semana 23</t>
  </si>
  <si>
    <t>Semana 24</t>
  </si>
  <si>
    <t>Semana 25</t>
  </si>
  <si>
    <t>Semana 26</t>
  </si>
  <si>
    <t>Semana 27</t>
  </si>
  <si>
    <t>Semana 28</t>
  </si>
  <si>
    <t>Semana 29</t>
  </si>
  <si>
    <t>Semana 30</t>
  </si>
  <si>
    <t>Semana 31</t>
  </si>
  <si>
    <t>Semana 32</t>
  </si>
  <si>
    <t>Semana 33</t>
  </si>
  <si>
    <t>Semana 34</t>
  </si>
  <si>
    <t>Semana 35</t>
  </si>
  <si>
    <t>Semana 36</t>
  </si>
  <si>
    <t>Semana 37</t>
  </si>
  <si>
    <t>Semana 38</t>
  </si>
  <si>
    <t>Semana 39</t>
  </si>
  <si>
    <t>Semana 40</t>
  </si>
  <si>
    <t>Febrero</t>
  </si>
  <si>
    <t>Resumen Mensual (Año en B2)</t>
  </si>
  <si>
    <t>Marzo</t>
  </si>
  <si>
    <t>Abril</t>
  </si>
  <si>
    <t>Mayo</t>
  </si>
  <si>
    <t>Junio</t>
  </si>
  <si>
    <t>Julio</t>
  </si>
  <si>
    <t>Ticket promedio (CLP)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</si>
</sst>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/yyyy"/>
    <numFmt numFmtId="165" formatCode="dd/mm/yyyy"/>
    <numFmt numFmtId="166" formatCode="d/m/yyyy"/>
    <numFmt numFmtId="167" formatCode="&quot;$&quot;#,##0.00"/>
    <numFmt numFmtId="168" formatCode="m-yyyy"/>
    <numFmt numFmtId="169" formatCode="mmmm yyyy"/>
  </numFmts>
  <fonts count="9">
    <font>
      <sz val="11.0"/>
      <color theme="1"/>
      <name val="Calibri"/>
      <scheme val="minor"/>
    </font>
    <font>
      <b/>
      <sz val="11.0"/>
      <color theme="1"/>
      <name val="Calibri"/>
      <scheme val="minor"/>
    </font>
    <font>
      <color theme="1"/>
      <name val="Calibri"/>
      <scheme val="minor"/>
    </font>
    <font>
      <sz val="11.0"/>
      <color rgb="FF1F1F1F"/>
      <name val="&quot;Google Sans&quot;"/>
    </font>
    <font>
      <sz val="11.0"/>
      <color rgb="FF1F1F1F"/>
      <name val="Calibri"/>
      <scheme val="minor"/>
    </font>
    <font>
      <sz val="10.0"/>
      <color theme="1"/>
      <name val="Calibri"/>
      <scheme val="minor"/>
    </font>
    <font>
      <b/>
      <color theme="1"/>
      <name val="Calibri"/>
      <scheme val="minor"/>
    </font>
    <font>
      <sz val="11.0"/>
      <color rgb="FF52677B"/>
      <name val="Nunito_sans_regula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0F4F9"/>
        <bgColor rgb="FFF0F4F9"/>
      </patternFill>
    </fill>
    <fill>
      <patternFill patternType="solid">
        <fgColor rgb="FFF5F7FF"/>
        <bgColor rgb="FFF5F7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0" numFmtId="0" xfId="0" applyAlignment="1" applyFont="1">
      <alignment horizontal="center" readingOrder="0" shrinkToFit="0" vertical="top" wrapText="0"/>
    </xf>
    <xf borderId="0" fillId="0" fontId="1" numFmtId="0" xfId="0" applyAlignment="1" applyFont="1">
      <alignment horizontal="center" readingOrder="0" shrinkToFit="0" vertical="top" wrapText="0"/>
    </xf>
    <xf borderId="0" fillId="0" fontId="1" numFmtId="49" xfId="0" applyAlignment="1" applyFont="1" applyNumberFormat="1">
      <alignment horizontal="center" readingOrder="0" shrinkToFit="0" vertical="top" wrapText="0"/>
    </xf>
    <xf borderId="0" fillId="0" fontId="1" numFmtId="0" xfId="0" applyAlignment="1" applyFont="1">
      <alignment horizontal="center" readingOrder="0" shrinkToFit="0" vertical="top" wrapText="0"/>
    </xf>
    <xf borderId="0" fillId="0" fontId="0" numFmtId="164" xfId="0" applyAlignment="1" applyFont="1" applyNumberFormat="1">
      <alignment readingOrder="0" shrinkToFit="0" vertical="center" wrapText="0"/>
    </xf>
    <xf borderId="0" fillId="0" fontId="0" numFmtId="0" xfId="0" applyAlignment="1" applyFont="1">
      <alignment readingOrder="0" shrinkToFit="0" vertical="center" wrapText="0"/>
    </xf>
    <xf borderId="0" fillId="0" fontId="0" numFmtId="0" xfId="0" applyAlignment="1" applyFont="1">
      <alignment readingOrder="0" shrinkToFit="0" vertical="center" wrapText="1"/>
    </xf>
    <xf borderId="0" fillId="0" fontId="0" numFmtId="0" xfId="0" applyAlignment="1" applyFont="1">
      <alignment readingOrder="0" shrinkToFit="0" vertical="center" wrapText="0"/>
    </xf>
    <xf borderId="0" fillId="0" fontId="0" numFmtId="0" xfId="0" applyAlignment="1" applyFont="1">
      <alignment shrinkToFit="0" vertical="center" wrapText="0"/>
    </xf>
    <xf borderId="0" fillId="0" fontId="0" numFmtId="0" xfId="0" applyAlignment="1" applyFont="1">
      <alignment readingOrder="0" shrinkToFit="0" vertical="center" wrapText="0"/>
    </xf>
    <xf borderId="0" fillId="0" fontId="0" numFmtId="0" xfId="0" applyAlignment="1" applyFont="1">
      <alignment shrinkToFit="0" vertical="center" wrapText="0"/>
    </xf>
    <xf borderId="0" fillId="0" fontId="2" numFmtId="0" xfId="0" applyAlignment="1" applyFont="1">
      <alignment readingOrder="0"/>
    </xf>
    <xf borderId="0" fillId="0" fontId="0" numFmtId="0" xfId="0" applyAlignment="1" applyFont="1">
      <alignment shrinkToFit="0" vertical="center" wrapText="0"/>
    </xf>
    <xf borderId="0" fillId="0" fontId="2" numFmtId="0" xfId="0" applyFont="1"/>
    <xf borderId="0" fillId="0" fontId="0" numFmtId="165" xfId="0" applyAlignment="1" applyFont="1" applyNumberFormat="1">
      <alignment readingOrder="0" shrinkToFit="0" vertical="center" wrapText="0"/>
    </xf>
    <xf borderId="0" fillId="2" fontId="3" numFmtId="0" xfId="0" applyAlignment="1" applyFill="1" applyFont="1">
      <alignment readingOrder="0" shrinkToFit="0" vertical="center" wrapText="0"/>
    </xf>
    <xf borderId="0" fillId="0" fontId="0" numFmtId="166" xfId="0" applyAlignment="1" applyFont="1" applyNumberFormat="1">
      <alignment readingOrder="0"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0" fontId="0" numFmtId="0" xfId="0" applyAlignment="1" applyFont="1">
      <alignment readingOrder="0" shrinkToFit="0" vertical="center" wrapText="0"/>
    </xf>
    <xf borderId="0" fillId="0" fontId="0" numFmtId="0" xfId="0" applyAlignment="1" applyFont="1">
      <alignment readingOrder="0" shrinkToFit="0" vertical="center" wrapText="0"/>
    </xf>
    <xf borderId="0" fillId="0" fontId="0" numFmtId="0" xfId="0" applyAlignment="1" applyFont="1">
      <alignment shrinkToFit="0" vertical="center" wrapText="0"/>
    </xf>
    <xf borderId="0" fillId="0" fontId="0" numFmtId="0" xfId="0" applyAlignment="1" applyFont="1">
      <alignment readingOrder="0" shrinkToFit="0" vertical="center" wrapText="0"/>
    </xf>
    <xf borderId="0" fillId="0" fontId="0" numFmtId="165" xfId="0" applyAlignment="1" applyFont="1" applyNumberForma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0" numFmtId="0" xfId="0" applyFont="1"/>
    <xf borderId="0" fillId="0" fontId="0" numFmtId="0" xfId="0" applyAlignment="1" applyFont="1">
      <alignment readingOrder="0"/>
    </xf>
    <xf borderId="0" fillId="0" fontId="0" numFmtId="0" xfId="0" applyFont="1"/>
    <xf borderId="0" fillId="0" fontId="5" numFmtId="0" xfId="0" applyFont="1"/>
    <xf borderId="0" fillId="0" fontId="2" numFmtId="0" xfId="0" applyAlignment="1" applyFont="1">
      <alignment shrinkToFit="0" wrapText="0"/>
    </xf>
    <xf borderId="0" fillId="0" fontId="6" numFmtId="0" xfId="0" applyAlignment="1" applyFont="1">
      <alignment horizontal="center" readingOrder="0" shrinkToFit="0" vertical="top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6" xfId="0" applyAlignment="1" applyFont="1" applyNumberFormat="1">
      <alignment readingOrder="0" shrinkToFit="0" vertical="center" wrapText="0"/>
    </xf>
    <xf borderId="0" fillId="3" fontId="7" numFmtId="167" xfId="0" applyAlignment="1" applyFill="1" applyFont="1" applyNumberFormat="1">
      <alignment horizontal="right" readingOrder="0" shrinkToFit="0" vertical="center" wrapText="0"/>
    </xf>
    <xf borderId="1" fillId="0" fontId="6" numFmtId="0" xfId="0" applyAlignment="1" applyBorder="1" applyFont="1">
      <alignment horizontal="center" vertical="top"/>
    </xf>
    <xf borderId="0" fillId="0" fontId="2" numFmtId="168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0" fontId="6" numFmtId="168" xfId="0" applyAlignment="1" applyFont="1" applyNumberFormat="1">
      <alignment readingOrder="0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ervici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ast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2</xdr:row>
      <xdr:rowOff>180975</xdr:rowOff>
    </xdr:from>
    <xdr:ext cx="5715000" cy="3533775"/>
    <xdr:pic>
      <xdr:nvPicPr>
        <xdr:cNvPr id="686382828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136" displayName="Tabla_1" name="Tabla_1" id="1">
  <tableColumns count="15">
    <tableColumn name="Fecha" id="1"/>
    <tableColumn name="Cliente" id="2"/>
    <tableColumn name="Ciudad" id="3"/>
    <tableColumn name="Ubicación" id="4"/>
    <tableColumn name="Servicio" id="5"/>
    <tableColumn name="Cantidad" id="6"/>
    <tableColumn name="Precio unitario" id="7"/>
    <tableColumn name="Total" id="8"/>
    <tableColumn name="Medio de pago" id="9"/>
    <tableColumn name="Pagado" id="10"/>
    <tableColumn name="Notas" id="11"/>
    <tableColumn name="Mes" id="12"/>
    <tableColumn name="Año" id="13"/>
    <tableColumn name="Semana" id="14"/>
    <tableColumn name="Columna 1" id="15"/>
  </tableColumns>
  <tableStyleInfo name="Servicios-style" showColumnStripes="0" showFirstColumn="1" showLastColumn="1" showRowStripes="1"/>
</table>
</file>

<file path=xl/tables/table2.xml><?xml version="1.0" encoding="utf-8"?>
<table xmlns="http://schemas.openxmlformats.org/spreadsheetml/2006/main" ref="A1:H55" displayName="Tabla_2" name="Tabla_2" id="2">
  <tableColumns count="8">
    <tableColumn name="Fecha" id="1"/>
    <tableColumn name="Categoría" id="2"/>
    <tableColumn name="Descripción" id="3"/>
    <tableColumn name="Monto" id="4"/>
    <tableColumn name="Medio de pago" id="5"/>
    <tableColumn name="Mes" id="6"/>
    <tableColumn name="Año" id="7"/>
    <tableColumn name="Semana" id="8"/>
  </tableColumns>
  <tableStyleInfo name="Gas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19.29"/>
    <col customWidth="1" min="3" max="3" width="18.0"/>
    <col customWidth="1" min="4" max="4" width="18.86"/>
    <col customWidth="1" min="5" max="5" width="18.43"/>
    <col customWidth="1" min="6" max="6" width="23.86"/>
    <col customWidth="1" min="7" max="7" width="18.0"/>
    <col customWidth="1" min="8" max="8" width="23.86"/>
    <col customWidth="1" min="9" max="10" width="18.0"/>
    <col customWidth="1" min="11" max="11" width="20.29"/>
    <col customWidth="1" min="12" max="13" width="18.0"/>
    <col customWidth="1" min="14" max="14" width="8.71"/>
    <col customWidth="1" min="15" max="15" width="16.86"/>
    <col customWidth="1" min="16" max="27" width="8.71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5" t="s">
        <v>14</v>
      </c>
    </row>
    <row r="2" ht="22.5" customHeight="1">
      <c r="A2" s="6">
        <v>45887.0</v>
      </c>
      <c r="B2" s="7" t="s">
        <v>15</v>
      </c>
      <c r="C2" s="8" t="s">
        <v>16</v>
      </c>
      <c r="D2" s="7" t="s">
        <v>17</v>
      </c>
      <c r="E2" s="7" t="s">
        <v>18</v>
      </c>
      <c r="F2" s="9">
        <v>1.0</v>
      </c>
      <c r="G2" s="9">
        <v>16000.0</v>
      </c>
      <c r="H2" s="10">
        <f t="shared" ref="H2:H144" si="1">IFERROR(F2*G2,"")</f>
        <v>16000</v>
      </c>
      <c r="I2" s="11" t="s">
        <v>19</v>
      </c>
      <c r="J2" s="11" t="s">
        <v>20</v>
      </c>
      <c r="K2" s="11" t="s">
        <v>21</v>
      </c>
      <c r="L2" s="10">
        <f t="shared" ref="L2:L144" si="2">IFERROR(MONTH(A2),"")</f>
        <v>8</v>
      </c>
      <c r="M2" s="10">
        <f t="shared" ref="M2:M144" si="3">IFERROR(YEAR(A2),"")</f>
        <v>2025</v>
      </c>
      <c r="N2" s="10">
        <f t="shared" ref="N2:N144" si="4">IFERROR(WEEKNUM(A2,2),"")</f>
        <v>34</v>
      </c>
      <c r="O2" s="12" t="str">
        <f t="shared" ref="O2:O144" si="5">TEXT(L2,"0")&amp;"-"&amp;M2</f>
        <v>8-2025</v>
      </c>
      <c r="Q2" s="13" t="s">
        <v>22</v>
      </c>
    </row>
    <row r="3" ht="22.5" customHeight="1">
      <c r="A3" s="6">
        <v>45910.0</v>
      </c>
      <c r="B3" s="7" t="s">
        <v>23</v>
      </c>
      <c r="C3" s="7" t="s">
        <v>24</v>
      </c>
      <c r="D3" s="7" t="s">
        <v>25</v>
      </c>
      <c r="E3" s="7" t="s">
        <v>26</v>
      </c>
      <c r="F3" s="9">
        <v>1.0</v>
      </c>
      <c r="G3" s="9">
        <v>82240.0</v>
      </c>
      <c r="H3" s="10">
        <f t="shared" si="1"/>
        <v>82240</v>
      </c>
      <c r="I3" s="11" t="s">
        <v>27</v>
      </c>
      <c r="J3" s="11" t="s">
        <v>20</v>
      </c>
      <c r="K3" s="14"/>
      <c r="L3" s="10">
        <f t="shared" si="2"/>
        <v>9</v>
      </c>
      <c r="M3" s="10">
        <f t="shared" si="3"/>
        <v>2025</v>
      </c>
      <c r="N3" s="10">
        <f t="shared" si="4"/>
        <v>37</v>
      </c>
      <c r="O3" s="12" t="str">
        <f t="shared" si="5"/>
        <v>9-2025</v>
      </c>
      <c r="P3" s="15"/>
      <c r="Q3" s="13" t="s">
        <v>28</v>
      </c>
    </row>
    <row r="4" ht="22.5" customHeight="1">
      <c r="A4" s="6">
        <v>45903.0</v>
      </c>
      <c r="B4" s="7" t="s">
        <v>29</v>
      </c>
      <c r="C4" s="8" t="s">
        <v>30</v>
      </c>
      <c r="D4" s="8" t="s">
        <v>30</v>
      </c>
      <c r="E4" s="7" t="s">
        <v>31</v>
      </c>
      <c r="F4" s="9">
        <v>1.0</v>
      </c>
      <c r="G4" s="9">
        <v>35000.0</v>
      </c>
      <c r="H4" s="10">
        <f t="shared" si="1"/>
        <v>35000</v>
      </c>
      <c r="I4" s="11" t="s">
        <v>19</v>
      </c>
      <c r="J4" s="11" t="s">
        <v>20</v>
      </c>
      <c r="K4" s="11" t="s">
        <v>28</v>
      </c>
      <c r="L4" s="10">
        <f t="shared" si="2"/>
        <v>9</v>
      </c>
      <c r="M4" s="10">
        <f t="shared" si="3"/>
        <v>2025</v>
      </c>
      <c r="N4" s="10">
        <f t="shared" si="4"/>
        <v>36</v>
      </c>
      <c r="O4" s="12" t="str">
        <f t="shared" si="5"/>
        <v>9-2025</v>
      </c>
      <c r="Q4" s="13" t="s">
        <v>32</v>
      </c>
    </row>
    <row r="5" ht="22.5" customHeight="1">
      <c r="A5" s="6">
        <v>45903.0</v>
      </c>
      <c r="B5" s="7" t="s">
        <v>33</v>
      </c>
      <c r="C5" s="8" t="s">
        <v>24</v>
      </c>
      <c r="D5" s="7" t="s">
        <v>25</v>
      </c>
      <c r="E5" s="7" t="s">
        <v>34</v>
      </c>
      <c r="F5" s="9">
        <v>1.0</v>
      </c>
      <c r="G5" s="9">
        <v>23000.0</v>
      </c>
      <c r="H5" s="10">
        <f t="shared" si="1"/>
        <v>23000</v>
      </c>
      <c r="I5" s="11" t="s">
        <v>27</v>
      </c>
      <c r="J5" s="11" t="s">
        <v>20</v>
      </c>
      <c r="K5" s="11" t="s">
        <v>28</v>
      </c>
      <c r="L5" s="10">
        <f t="shared" si="2"/>
        <v>9</v>
      </c>
      <c r="M5" s="10">
        <f t="shared" si="3"/>
        <v>2025</v>
      </c>
      <c r="N5" s="10">
        <f t="shared" si="4"/>
        <v>36</v>
      </c>
      <c r="O5" s="12" t="str">
        <f t="shared" si="5"/>
        <v>9-2025</v>
      </c>
      <c r="Q5" s="13" t="s">
        <v>35</v>
      </c>
    </row>
    <row r="6" ht="22.5" customHeight="1">
      <c r="A6" s="6">
        <v>45906.0</v>
      </c>
      <c r="B6" s="7" t="s">
        <v>36</v>
      </c>
      <c r="C6" s="8" t="s">
        <v>37</v>
      </c>
      <c r="D6" s="7" t="s">
        <v>37</v>
      </c>
      <c r="E6" s="7" t="s">
        <v>38</v>
      </c>
      <c r="F6" s="9">
        <v>1.0</v>
      </c>
      <c r="G6" s="9">
        <v>50000.0</v>
      </c>
      <c r="H6" s="10">
        <f t="shared" si="1"/>
        <v>50000</v>
      </c>
      <c r="I6" s="11" t="s">
        <v>27</v>
      </c>
      <c r="J6" s="11" t="s">
        <v>20</v>
      </c>
      <c r="K6" s="11" t="s">
        <v>28</v>
      </c>
      <c r="L6" s="10">
        <f t="shared" si="2"/>
        <v>9</v>
      </c>
      <c r="M6" s="10">
        <f t="shared" si="3"/>
        <v>2025</v>
      </c>
      <c r="N6" s="10">
        <f t="shared" si="4"/>
        <v>36</v>
      </c>
      <c r="O6" s="12" t="str">
        <f t="shared" si="5"/>
        <v>9-2025</v>
      </c>
    </row>
    <row r="7" ht="22.5" customHeight="1">
      <c r="A7" s="6">
        <v>45901.0</v>
      </c>
      <c r="B7" s="7" t="s">
        <v>39</v>
      </c>
      <c r="C7" s="8" t="s">
        <v>24</v>
      </c>
      <c r="D7" s="7" t="s">
        <v>25</v>
      </c>
      <c r="E7" s="7" t="s">
        <v>40</v>
      </c>
      <c r="F7" s="9">
        <v>1.0</v>
      </c>
      <c r="G7" s="9">
        <v>15000.0</v>
      </c>
      <c r="H7" s="10">
        <f t="shared" si="1"/>
        <v>15000</v>
      </c>
      <c r="I7" s="11" t="s">
        <v>27</v>
      </c>
      <c r="J7" s="11" t="s">
        <v>20</v>
      </c>
      <c r="K7" s="11" t="s">
        <v>28</v>
      </c>
      <c r="L7" s="10">
        <f t="shared" si="2"/>
        <v>9</v>
      </c>
      <c r="M7" s="10">
        <f t="shared" si="3"/>
        <v>2025</v>
      </c>
      <c r="N7" s="10">
        <f t="shared" si="4"/>
        <v>36</v>
      </c>
      <c r="O7" s="12" t="str">
        <f t="shared" si="5"/>
        <v>9-2025</v>
      </c>
    </row>
    <row r="8" ht="22.5" customHeight="1">
      <c r="A8" s="6">
        <v>45893.0</v>
      </c>
      <c r="B8" s="7" t="s">
        <v>41</v>
      </c>
      <c r="C8" s="8" t="s">
        <v>24</v>
      </c>
      <c r="D8" s="7" t="s">
        <v>25</v>
      </c>
      <c r="E8" s="7" t="s">
        <v>42</v>
      </c>
      <c r="F8" s="9">
        <v>1.0</v>
      </c>
      <c r="G8" s="9">
        <v>49000.0</v>
      </c>
      <c r="H8" s="10">
        <f t="shared" si="1"/>
        <v>49000</v>
      </c>
      <c r="I8" s="11" t="s">
        <v>27</v>
      </c>
      <c r="J8" s="11" t="s">
        <v>20</v>
      </c>
      <c r="K8" s="11" t="s">
        <v>28</v>
      </c>
      <c r="L8" s="10">
        <f t="shared" si="2"/>
        <v>8</v>
      </c>
      <c r="M8" s="10">
        <f t="shared" si="3"/>
        <v>2025</v>
      </c>
      <c r="N8" s="10">
        <f t="shared" si="4"/>
        <v>34</v>
      </c>
      <c r="O8" s="12" t="str">
        <f t="shared" si="5"/>
        <v>8-2025</v>
      </c>
    </row>
    <row r="9" ht="22.5" customHeight="1">
      <c r="A9" s="6">
        <v>45911.0</v>
      </c>
      <c r="B9" s="7" t="s">
        <v>43</v>
      </c>
      <c r="C9" s="8" t="s">
        <v>24</v>
      </c>
      <c r="D9" s="7" t="s">
        <v>25</v>
      </c>
      <c r="E9" s="7" t="s">
        <v>44</v>
      </c>
      <c r="F9" s="9">
        <v>1.0</v>
      </c>
      <c r="G9" s="9">
        <v>45200.0</v>
      </c>
      <c r="H9" s="10">
        <f t="shared" si="1"/>
        <v>45200</v>
      </c>
      <c r="I9" s="11" t="s">
        <v>19</v>
      </c>
      <c r="J9" s="11" t="s">
        <v>20</v>
      </c>
      <c r="K9" s="11" t="s">
        <v>28</v>
      </c>
      <c r="L9" s="10">
        <f t="shared" si="2"/>
        <v>9</v>
      </c>
      <c r="M9" s="10">
        <f t="shared" si="3"/>
        <v>2025</v>
      </c>
      <c r="N9" s="10">
        <f t="shared" si="4"/>
        <v>37</v>
      </c>
      <c r="O9" s="12" t="str">
        <f t="shared" si="5"/>
        <v>9-2025</v>
      </c>
    </row>
    <row r="10" ht="22.5" customHeight="1">
      <c r="A10" s="6">
        <v>45913.0</v>
      </c>
      <c r="B10" s="7" t="s">
        <v>45</v>
      </c>
      <c r="C10" s="8" t="s">
        <v>37</v>
      </c>
      <c r="D10" s="7" t="s">
        <v>37</v>
      </c>
      <c r="E10" s="7" t="s">
        <v>46</v>
      </c>
      <c r="F10" s="9">
        <v>1.0</v>
      </c>
      <c r="G10" s="9">
        <v>25000.0</v>
      </c>
      <c r="H10" s="10">
        <f t="shared" si="1"/>
        <v>25000</v>
      </c>
      <c r="I10" s="11" t="s">
        <v>19</v>
      </c>
      <c r="J10" s="11" t="s">
        <v>20</v>
      </c>
      <c r="K10" s="11" t="s">
        <v>28</v>
      </c>
      <c r="L10" s="10">
        <f t="shared" si="2"/>
        <v>9</v>
      </c>
      <c r="M10" s="10">
        <f t="shared" si="3"/>
        <v>2025</v>
      </c>
      <c r="N10" s="10">
        <f t="shared" si="4"/>
        <v>37</v>
      </c>
      <c r="O10" s="12" t="str">
        <f t="shared" si="5"/>
        <v>9-2025</v>
      </c>
    </row>
    <row r="11" ht="22.5" customHeight="1">
      <c r="A11" s="16">
        <v>45915.0</v>
      </c>
      <c r="B11" s="7" t="s">
        <v>47</v>
      </c>
      <c r="C11" s="8" t="s">
        <v>37</v>
      </c>
      <c r="D11" s="7" t="s">
        <v>37</v>
      </c>
      <c r="E11" s="7" t="s">
        <v>46</v>
      </c>
      <c r="F11" s="9">
        <v>1.0</v>
      </c>
      <c r="G11" s="9">
        <v>25000.0</v>
      </c>
      <c r="H11" s="10">
        <f t="shared" si="1"/>
        <v>25000</v>
      </c>
      <c r="I11" s="11" t="s">
        <v>19</v>
      </c>
      <c r="J11" s="11" t="s">
        <v>20</v>
      </c>
      <c r="K11" s="11" t="s">
        <v>28</v>
      </c>
      <c r="L11" s="10">
        <f t="shared" si="2"/>
        <v>9</v>
      </c>
      <c r="M11" s="10">
        <f t="shared" si="3"/>
        <v>2025</v>
      </c>
      <c r="N11" s="10">
        <f t="shared" si="4"/>
        <v>38</v>
      </c>
      <c r="O11" s="12" t="str">
        <f t="shared" si="5"/>
        <v>9-2025</v>
      </c>
    </row>
    <row r="12" ht="22.5" customHeight="1">
      <c r="A12" s="16">
        <v>45915.0</v>
      </c>
      <c r="B12" s="7" t="s">
        <v>48</v>
      </c>
      <c r="C12" s="8" t="s">
        <v>24</v>
      </c>
      <c r="D12" s="7" t="s">
        <v>25</v>
      </c>
      <c r="E12" s="7" t="s">
        <v>49</v>
      </c>
      <c r="F12" s="9">
        <v>1.0</v>
      </c>
      <c r="G12" s="9">
        <v>28600.0</v>
      </c>
      <c r="H12" s="10">
        <f t="shared" si="1"/>
        <v>28600</v>
      </c>
      <c r="I12" s="11" t="s">
        <v>27</v>
      </c>
      <c r="J12" s="11" t="s">
        <v>20</v>
      </c>
      <c r="K12" s="11" t="s">
        <v>28</v>
      </c>
      <c r="L12" s="10">
        <f t="shared" si="2"/>
        <v>9</v>
      </c>
      <c r="M12" s="10">
        <f t="shared" si="3"/>
        <v>2025</v>
      </c>
      <c r="N12" s="10">
        <f t="shared" si="4"/>
        <v>38</v>
      </c>
      <c r="O12" s="12" t="str">
        <f t="shared" si="5"/>
        <v>9-2025</v>
      </c>
    </row>
    <row r="13" ht="22.5" customHeight="1">
      <c r="A13" s="16">
        <v>45925.0</v>
      </c>
      <c r="B13" s="7" t="s">
        <v>50</v>
      </c>
      <c r="C13" s="8" t="s">
        <v>37</v>
      </c>
      <c r="D13" s="8" t="s">
        <v>37</v>
      </c>
      <c r="E13" s="7" t="s">
        <v>51</v>
      </c>
      <c r="F13" s="9">
        <v>1.0</v>
      </c>
      <c r="G13" s="9">
        <v>45000.0</v>
      </c>
      <c r="H13" s="10">
        <f t="shared" si="1"/>
        <v>45000</v>
      </c>
      <c r="I13" s="11" t="s">
        <v>27</v>
      </c>
      <c r="J13" s="11" t="s">
        <v>20</v>
      </c>
      <c r="K13" s="11" t="s">
        <v>28</v>
      </c>
      <c r="L13" s="10">
        <f t="shared" si="2"/>
        <v>9</v>
      </c>
      <c r="M13" s="10">
        <f t="shared" si="3"/>
        <v>2025</v>
      </c>
      <c r="N13" s="10">
        <f t="shared" si="4"/>
        <v>39</v>
      </c>
      <c r="O13" s="12" t="str">
        <f t="shared" si="5"/>
        <v>9-2025</v>
      </c>
    </row>
    <row r="14" ht="22.5" customHeight="1">
      <c r="A14" s="16">
        <v>45929.0</v>
      </c>
      <c r="B14" s="7" t="s">
        <v>52</v>
      </c>
      <c r="C14" s="8" t="s">
        <v>24</v>
      </c>
      <c r="D14" s="7" t="s">
        <v>53</v>
      </c>
      <c r="E14" s="7" t="s">
        <v>54</v>
      </c>
      <c r="F14" s="9">
        <v>1.0</v>
      </c>
      <c r="G14" s="9">
        <v>20000.0</v>
      </c>
      <c r="H14" s="10">
        <f t="shared" si="1"/>
        <v>20000</v>
      </c>
      <c r="I14" s="11" t="s">
        <v>19</v>
      </c>
      <c r="J14" s="11" t="s">
        <v>20</v>
      </c>
      <c r="K14" s="11" t="s">
        <v>28</v>
      </c>
      <c r="L14" s="10">
        <f t="shared" si="2"/>
        <v>9</v>
      </c>
      <c r="M14" s="10">
        <f t="shared" si="3"/>
        <v>2025</v>
      </c>
      <c r="N14" s="10">
        <f t="shared" si="4"/>
        <v>40</v>
      </c>
      <c r="O14" s="12" t="str">
        <f t="shared" si="5"/>
        <v>9-2025</v>
      </c>
    </row>
    <row r="15" ht="22.5" customHeight="1">
      <c r="A15" s="16">
        <v>45930.0</v>
      </c>
      <c r="B15" s="7" t="s">
        <v>55</v>
      </c>
      <c r="C15" s="7" t="s">
        <v>24</v>
      </c>
      <c r="D15" s="7" t="s">
        <v>53</v>
      </c>
      <c r="E15" s="7" t="s">
        <v>56</v>
      </c>
      <c r="F15" s="9">
        <v>1.0</v>
      </c>
      <c r="G15" s="9">
        <v>31500.0</v>
      </c>
      <c r="H15" s="10">
        <f t="shared" si="1"/>
        <v>31500</v>
      </c>
      <c r="I15" s="11" t="s">
        <v>27</v>
      </c>
      <c r="J15" s="11" t="s">
        <v>20</v>
      </c>
      <c r="K15" s="11" t="s">
        <v>28</v>
      </c>
      <c r="L15" s="10">
        <f t="shared" si="2"/>
        <v>9</v>
      </c>
      <c r="M15" s="10">
        <f t="shared" si="3"/>
        <v>2025</v>
      </c>
      <c r="N15" s="10">
        <f t="shared" si="4"/>
        <v>40</v>
      </c>
      <c r="O15" s="12" t="str">
        <f t="shared" si="5"/>
        <v>9-2025</v>
      </c>
    </row>
    <row r="16" ht="22.5" customHeight="1">
      <c r="A16" s="16">
        <v>45931.0</v>
      </c>
      <c r="B16" s="7" t="s">
        <v>57</v>
      </c>
      <c r="C16" s="7" t="s">
        <v>30</v>
      </c>
      <c r="D16" s="7" t="s">
        <v>30</v>
      </c>
      <c r="E16" s="7" t="s">
        <v>58</v>
      </c>
      <c r="F16" s="9">
        <v>1.0</v>
      </c>
      <c r="G16" s="9">
        <v>30000.0</v>
      </c>
      <c r="H16" s="10">
        <f t="shared" si="1"/>
        <v>30000</v>
      </c>
      <c r="I16" s="11" t="s">
        <v>27</v>
      </c>
      <c r="J16" s="11" t="s">
        <v>20</v>
      </c>
      <c r="K16" s="11" t="s">
        <v>28</v>
      </c>
      <c r="L16" s="10">
        <f t="shared" si="2"/>
        <v>10</v>
      </c>
      <c r="M16" s="10">
        <f t="shared" si="3"/>
        <v>2025</v>
      </c>
      <c r="N16" s="10">
        <f t="shared" si="4"/>
        <v>40</v>
      </c>
      <c r="O16" s="12" t="str">
        <f t="shared" si="5"/>
        <v>10-2025</v>
      </c>
    </row>
    <row r="17" ht="22.5" customHeight="1">
      <c r="A17" s="16">
        <v>45932.0</v>
      </c>
      <c r="B17" s="7" t="s">
        <v>59</v>
      </c>
      <c r="C17" s="7" t="s">
        <v>30</v>
      </c>
      <c r="D17" s="7" t="s">
        <v>60</v>
      </c>
      <c r="E17" s="7" t="s">
        <v>61</v>
      </c>
      <c r="F17" s="9">
        <v>1.0</v>
      </c>
      <c r="G17" s="9">
        <v>20000.0</v>
      </c>
      <c r="H17" s="10">
        <f t="shared" si="1"/>
        <v>20000</v>
      </c>
      <c r="I17" s="11" t="s">
        <v>27</v>
      </c>
      <c r="J17" s="11" t="s">
        <v>20</v>
      </c>
      <c r="K17" s="11" t="s">
        <v>28</v>
      </c>
      <c r="L17" s="10">
        <f t="shared" si="2"/>
        <v>10</v>
      </c>
      <c r="M17" s="10">
        <f t="shared" si="3"/>
        <v>2025</v>
      </c>
      <c r="N17" s="10">
        <f t="shared" si="4"/>
        <v>40</v>
      </c>
      <c r="O17" s="12" t="str">
        <f t="shared" si="5"/>
        <v>10-2025</v>
      </c>
    </row>
    <row r="18" ht="22.5" customHeight="1">
      <c r="A18" s="16">
        <v>45933.0</v>
      </c>
      <c r="B18" s="7" t="s">
        <v>62</v>
      </c>
      <c r="C18" s="7" t="s">
        <v>24</v>
      </c>
      <c r="D18" s="7" t="s">
        <v>25</v>
      </c>
      <c r="E18" s="7" t="s">
        <v>63</v>
      </c>
      <c r="F18" s="9">
        <v>1.0</v>
      </c>
      <c r="G18" s="9">
        <v>35000.0</v>
      </c>
      <c r="H18" s="10">
        <f t="shared" si="1"/>
        <v>35000</v>
      </c>
      <c r="I18" s="11" t="s">
        <v>19</v>
      </c>
      <c r="J18" s="11" t="s">
        <v>20</v>
      </c>
      <c r="K18" s="11" t="s">
        <v>28</v>
      </c>
      <c r="L18" s="10">
        <f t="shared" si="2"/>
        <v>10</v>
      </c>
      <c r="M18" s="10">
        <f t="shared" si="3"/>
        <v>2025</v>
      </c>
      <c r="N18" s="10">
        <f t="shared" si="4"/>
        <v>40</v>
      </c>
      <c r="O18" s="12" t="str">
        <f t="shared" si="5"/>
        <v>10-2025</v>
      </c>
    </row>
    <row r="19" ht="22.5" customHeight="1">
      <c r="A19" s="16">
        <v>45934.0</v>
      </c>
      <c r="B19" s="7" t="s">
        <v>64</v>
      </c>
      <c r="C19" s="7" t="s">
        <v>30</v>
      </c>
      <c r="D19" s="7" t="s">
        <v>60</v>
      </c>
      <c r="E19" s="7" t="s">
        <v>65</v>
      </c>
      <c r="F19" s="9">
        <v>1.0</v>
      </c>
      <c r="G19" s="17">
        <v>45000.0</v>
      </c>
      <c r="H19" s="10">
        <f t="shared" si="1"/>
        <v>45000</v>
      </c>
      <c r="I19" s="11" t="s">
        <v>27</v>
      </c>
      <c r="J19" s="11" t="s">
        <v>66</v>
      </c>
      <c r="K19" s="11" t="s">
        <v>28</v>
      </c>
      <c r="L19" s="10">
        <f t="shared" si="2"/>
        <v>10</v>
      </c>
      <c r="M19" s="10">
        <f t="shared" si="3"/>
        <v>2025</v>
      </c>
      <c r="N19" s="10">
        <f t="shared" si="4"/>
        <v>40</v>
      </c>
      <c r="O19" s="12" t="str">
        <f t="shared" si="5"/>
        <v>10-2025</v>
      </c>
    </row>
    <row r="20" ht="22.5" customHeight="1">
      <c r="A20" s="16">
        <v>45936.0</v>
      </c>
      <c r="B20" s="7" t="s">
        <v>67</v>
      </c>
      <c r="C20" s="7" t="s">
        <v>30</v>
      </c>
      <c r="D20" s="7" t="s">
        <v>68</v>
      </c>
      <c r="E20" s="7" t="s">
        <v>69</v>
      </c>
      <c r="F20" s="9">
        <v>1.0</v>
      </c>
      <c r="G20" s="9">
        <v>35000.0</v>
      </c>
      <c r="H20" s="10">
        <f t="shared" si="1"/>
        <v>35000</v>
      </c>
      <c r="I20" s="11" t="s">
        <v>27</v>
      </c>
      <c r="J20" s="11" t="s">
        <v>20</v>
      </c>
      <c r="K20" s="11" t="s">
        <v>28</v>
      </c>
      <c r="L20" s="10">
        <f t="shared" si="2"/>
        <v>10</v>
      </c>
      <c r="M20" s="10">
        <f t="shared" si="3"/>
        <v>2025</v>
      </c>
      <c r="N20" s="10">
        <f t="shared" si="4"/>
        <v>41</v>
      </c>
      <c r="O20" s="12" t="str">
        <f t="shared" si="5"/>
        <v>10-2025</v>
      </c>
    </row>
    <row r="21" ht="15.75" customHeight="1">
      <c r="A21" s="16">
        <v>45936.0</v>
      </c>
      <c r="B21" s="7" t="s">
        <v>70</v>
      </c>
      <c r="C21" s="7" t="s">
        <v>37</v>
      </c>
      <c r="D21" s="7" t="s">
        <v>37</v>
      </c>
      <c r="E21" s="7" t="s">
        <v>71</v>
      </c>
      <c r="F21" s="9">
        <v>1.0</v>
      </c>
      <c r="G21" s="9">
        <v>25000.0</v>
      </c>
      <c r="H21" s="10">
        <f t="shared" si="1"/>
        <v>25000</v>
      </c>
      <c r="I21" s="11" t="s">
        <v>27</v>
      </c>
      <c r="J21" s="11" t="s">
        <v>20</v>
      </c>
      <c r="K21" s="14"/>
      <c r="L21" s="10">
        <f t="shared" si="2"/>
        <v>10</v>
      </c>
      <c r="M21" s="10">
        <f t="shared" si="3"/>
        <v>2025</v>
      </c>
      <c r="N21" s="10">
        <f t="shared" si="4"/>
        <v>41</v>
      </c>
      <c r="O21" s="12" t="str">
        <f t="shared" si="5"/>
        <v>10-2025</v>
      </c>
    </row>
    <row r="22" ht="15.75" customHeight="1">
      <c r="A22" s="16">
        <v>45937.0</v>
      </c>
      <c r="B22" s="7" t="s">
        <v>72</v>
      </c>
      <c r="C22" s="7" t="s">
        <v>37</v>
      </c>
      <c r="D22" s="7" t="s">
        <v>37</v>
      </c>
      <c r="E22" s="7" t="s">
        <v>73</v>
      </c>
      <c r="F22" s="9">
        <v>1.0</v>
      </c>
      <c r="G22" s="9">
        <v>55800.0</v>
      </c>
      <c r="H22" s="10">
        <f t="shared" si="1"/>
        <v>55800</v>
      </c>
      <c r="I22" s="11" t="s">
        <v>27</v>
      </c>
      <c r="J22" s="11" t="s">
        <v>20</v>
      </c>
      <c r="K22" s="14"/>
      <c r="L22" s="10">
        <f t="shared" si="2"/>
        <v>10</v>
      </c>
      <c r="M22" s="10">
        <f t="shared" si="3"/>
        <v>2025</v>
      </c>
      <c r="N22" s="10">
        <f t="shared" si="4"/>
        <v>41</v>
      </c>
      <c r="O22" s="12" t="str">
        <f t="shared" si="5"/>
        <v>10-2025</v>
      </c>
    </row>
    <row r="23" ht="15.75" customHeight="1">
      <c r="A23" s="16">
        <v>45938.0</v>
      </c>
      <c r="B23" s="7" t="s">
        <v>74</v>
      </c>
      <c r="C23" s="7" t="s">
        <v>24</v>
      </c>
      <c r="D23" s="7" t="s">
        <v>75</v>
      </c>
      <c r="E23" s="7" t="s">
        <v>76</v>
      </c>
      <c r="F23" s="9">
        <v>1.0</v>
      </c>
      <c r="G23" s="9">
        <v>110000.0</v>
      </c>
      <c r="H23" s="10">
        <f t="shared" si="1"/>
        <v>110000</v>
      </c>
      <c r="I23" s="11" t="s">
        <v>27</v>
      </c>
      <c r="J23" s="11" t="s">
        <v>20</v>
      </c>
      <c r="K23" s="14"/>
      <c r="L23" s="10">
        <f t="shared" si="2"/>
        <v>10</v>
      </c>
      <c r="M23" s="10">
        <f t="shared" si="3"/>
        <v>2025</v>
      </c>
      <c r="N23" s="10">
        <f t="shared" si="4"/>
        <v>41</v>
      </c>
      <c r="O23" s="12" t="str">
        <f t="shared" si="5"/>
        <v>10-2025</v>
      </c>
    </row>
    <row r="24" ht="15.75" customHeight="1">
      <c r="A24" s="18">
        <v>45940.0</v>
      </c>
      <c r="B24" s="7" t="s">
        <v>77</v>
      </c>
      <c r="C24" s="7" t="s">
        <v>37</v>
      </c>
      <c r="D24" s="7" t="s">
        <v>37</v>
      </c>
      <c r="E24" s="7" t="s">
        <v>78</v>
      </c>
      <c r="F24" s="9">
        <v>1.0</v>
      </c>
      <c r="G24" s="9">
        <v>45000.0</v>
      </c>
      <c r="H24" s="10">
        <f t="shared" si="1"/>
        <v>45000</v>
      </c>
      <c r="I24" s="11" t="s">
        <v>27</v>
      </c>
      <c r="J24" s="11" t="s">
        <v>20</v>
      </c>
      <c r="K24" s="14"/>
      <c r="L24" s="10">
        <f t="shared" si="2"/>
        <v>10</v>
      </c>
      <c r="M24" s="10">
        <f t="shared" si="3"/>
        <v>2025</v>
      </c>
      <c r="N24" s="10">
        <f t="shared" si="4"/>
        <v>41</v>
      </c>
      <c r="O24" s="12" t="str">
        <f t="shared" si="5"/>
        <v>10-2025</v>
      </c>
    </row>
    <row r="25" ht="15.75" customHeight="1">
      <c r="A25" s="18">
        <v>45941.0</v>
      </c>
      <c r="B25" s="7" t="s">
        <v>79</v>
      </c>
      <c r="C25" s="7" t="s">
        <v>24</v>
      </c>
      <c r="D25" s="7" t="s">
        <v>80</v>
      </c>
      <c r="E25" s="7" t="s">
        <v>81</v>
      </c>
      <c r="F25" s="9">
        <v>1.0</v>
      </c>
      <c r="G25" s="9">
        <v>76000.0</v>
      </c>
      <c r="H25" s="10">
        <f t="shared" si="1"/>
        <v>76000</v>
      </c>
      <c r="I25" s="11" t="s">
        <v>27</v>
      </c>
      <c r="J25" s="11" t="s">
        <v>66</v>
      </c>
      <c r="K25" s="14"/>
      <c r="L25" s="10">
        <f t="shared" si="2"/>
        <v>10</v>
      </c>
      <c r="M25" s="10">
        <f t="shared" si="3"/>
        <v>2025</v>
      </c>
      <c r="N25" s="10">
        <f t="shared" si="4"/>
        <v>41</v>
      </c>
      <c r="O25" s="12" t="str">
        <f t="shared" si="5"/>
        <v>10-2025</v>
      </c>
    </row>
    <row r="26" ht="15.75" customHeight="1">
      <c r="A26" s="18">
        <v>45943.0</v>
      </c>
      <c r="B26" s="7" t="s">
        <v>82</v>
      </c>
      <c r="C26" s="7" t="s">
        <v>37</v>
      </c>
      <c r="D26" s="7" t="s">
        <v>37</v>
      </c>
      <c r="E26" s="7" t="s">
        <v>83</v>
      </c>
      <c r="F26" s="9">
        <v>1.0</v>
      </c>
      <c r="G26" s="9">
        <v>30000.0</v>
      </c>
      <c r="H26" s="10">
        <f t="shared" si="1"/>
        <v>30000</v>
      </c>
      <c r="I26" s="11" t="s">
        <v>27</v>
      </c>
      <c r="J26" s="11" t="s">
        <v>20</v>
      </c>
      <c r="K26" s="14"/>
      <c r="L26" s="10">
        <f t="shared" si="2"/>
        <v>10</v>
      </c>
      <c r="M26" s="10">
        <f t="shared" si="3"/>
        <v>2025</v>
      </c>
      <c r="N26" s="10">
        <f t="shared" si="4"/>
        <v>42</v>
      </c>
      <c r="O26" s="12" t="str">
        <f t="shared" si="5"/>
        <v>10-2025</v>
      </c>
    </row>
    <row r="27" ht="15.75" customHeight="1">
      <c r="A27" s="18">
        <v>45944.0</v>
      </c>
      <c r="B27" s="7" t="s">
        <v>84</v>
      </c>
      <c r="C27" s="7" t="s">
        <v>24</v>
      </c>
      <c r="D27" s="7" t="s">
        <v>24</v>
      </c>
      <c r="E27" s="7" t="s">
        <v>85</v>
      </c>
      <c r="F27" s="9">
        <v>1.0</v>
      </c>
      <c r="G27" s="9">
        <v>70000.0</v>
      </c>
      <c r="H27" s="10">
        <f t="shared" si="1"/>
        <v>70000</v>
      </c>
      <c r="I27" s="11" t="s">
        <v>19</v>
      </c>
      <c r="J27" s="11" t="s">
        <v>20</v>
      </c>
      <c r="K27" s="14"/>
      <c r="L27" s="10">
        <f t="shared" si="2"/>
        <v>10</v>
      </c>
      <c r="M27" s="10">
        <f t="shared" si="3"/>
        <v>2025</v>
      </c>
      <c r="N27" s="10">
        <f t="shared" si="4"/>
        <v>42</v>
      </c>
      <c r="O27" s="12" t="str">
        <f t="shared" si="5"/>
        <v>10-2025</v>
      </c>
    </row>
    <row r="28" ht="15.75" customHeight="1">
      <c r="A28" s="18">
        <v>45945.0</v>
      </c>
      <c r="B28" s="7" t="s">
        <v>86</v>
      </c>
      <c r="C28" s="7" t="s">
        <v>37</v>
      </c>
      <c r="D28" s="7" t="s">
        <v>87</v>
      </c>
      <c r="E28" s="7" t="s">
        <v>88</v>
      </c>
      <c r="F28" s="9">
        <v>1.0</v>
      </c>
      <c r="G28" s="9">
        <v>95100.0</v>
      </c>
      <c r="H28" s="10">
        <f t="shared" si="1"/>
        <v>95100</v>
      </c>
      <c r="I28" s="11" t="s">
        <v>27</v>
      </c>
      <c r="J28" s="11" t="s">
        <v>20</v>
      </c>
      <c r="K28" s="14"/>
      <c r="L28" s="10">
        <f t="shared" si="2"/>
        <v>10</v>
      </c>
      <c r="M28" s="10">
        <f t="shared" si="3"/>
        <v>2025</v>
      </c>
      <c r="N28" s="10">
        <f t="shared" si="4"/>
        <v>42</v>
      </c>
      <c r="O28" s="12" t="str">
        <f t="shared" si="5"/>
        <v>10-2025</v>
      </c>
    </row>
    <row r="29" ht="15.75" customHeight="1">
      <c r="A29" s="18">
        <v>45945.0</v>
      </c>
      <c r="B29" s="7" t="s">
        <v>89</v>
      </c>
      <c r="C29" s="7" t="s">
        <v>24</v>
      </c>
      <c r="D29" s="7" t="s">
        <v>24</v>
      </c>
      <c r="E29" s="7" t="s">
        <v>90</v>
      </c>
      <c r="F29" s="9">
        <v>1.0</v>
      </c>
      <c r="G29" s="9">
        <v>50000.0</v>
      </c>
      <c r="H29" s="10">
        <f t="shared" si="1"/>
        <v>50000</v>
      </c>
      <c r="I29" s="11" t="s">
        <v>27</v>
      </c>
      <c r="J29" s="11" t="s">
        <v>66</v>
      </c>
      <c r="K29" s="14"/>
      <c r="L29" s="10">
        <f t="shared" si="2"/>
        <v>10</v>
      </c>
      <c r="M29" s="10">
        <f t="shared" si="3"/>
        <v>2025</v>
      </c>
      <c r="N29" s="10">
        <f t="shared" si="4"/>
        <v>42</v>
      </c>
      <c r="O29" s="12" t="str">
        <f t="shared" si="5"/>
        <v>10-2025</v>
      </c>
    </row>
    <row r="30" ht="15.75" customHeight="1">
      <c r="A30" s="18">
        <v>45947.0</v>
      </c>
      <c r="B30" s="7" t="s">
        <v>91</v>
      </c>
      <c r="C30" s="7" t="s">
        <v>37</v>
      </c>
      <c r="D30" s="7" t="s">
        <v>87</v>
      </c>
      <c r="E30" s="7" t="s">
        <v>92</v>
      </c>
      <c r="F30" s="9">
        <v>1.0</v>
      </c>
      <c r="G30" s="9">
        <v>30000.0</v>
      </c>
      <c r="H30" s="10">
        <f t="shared" si="1"/>
        <v>30000</v>
      </c>
      <c r="I30" s="11" t="s">
        <v>27</v>
      </c>
      <c r="J30" s="11" t="s">
        <v>20</v>
      </c>
      <c r="K30" s="14"/>
      <c r="L30" s="10">
        <f t="shared" si="2"/>
        <v>10</v>
      </c>
      <c r="M30" s="10">
        <f t="shared" si="3"/>
        <v>2025</v>
      </c>
      <c r="N30" s="10">
        <f t="shared" si="4"/>
        <v>42</v>
      </c>
      <c r="O30" s="12" t="str">
        <f t="shared" si="5"/>
        <v>10-2025</v>
      </c>
    </row>
    <row r="31" ht="15.75" customHeight="1">
      <c r="A31" s="18">
        <v>45947.0</v>
      </c>
      <c r="B31" s="7" t="s">
        <v>93</v>
      </c>
      <c r="C31" s="7" t="s">
        <v>37</v>
      </c>
      <c r="D31" s="7" t="s">
        <v>87</v>
      </c>
      <c r="E31" s="7" t="s">
        <v>94</v>
      </c>
      <c r="F31" s="9">
        <v>1.0</v>
      </c>
      <c r="G31" s="9">
        <v>18000.0</v>
      </c>
      <c r="H31" s="10">
        <f t="shared" si="1"/>
        <v>18000</v>
      </c>
      <c r="I31" s="11" t="s">
        <v>27</v>
      </c>
      <c r="J31" s="11" t="s">
        <v>20</v>
      </c>
      <c r="K31" s="14"/>
      <c r="L31" s="10">
        <f t="shared" si="2"/>
        <v>10</v>
      </c>
      <c r="M31" s="10">
        <f t="shared" si="3"/>
        <v>2025</v>
      </c>
      <c r="N31" s="10">
        <f t="shared" si="4"/>
        <v>42</v>
      </c>
      <c r="O31" s="12" t="str">
        <f t="shared" si="5"/>
        <v>10-2025</v>
      </c>
    </row>
    <row r="32" ht="15.75" customHeight="1">
      <c r="A32" s="18">
        <v>45948.0</v>
      </c>
      <c r="B32" s="7" t="s">
        <v>95</v>
      </c>
      <c r="C32" s="7" t="s">
        <v>24</v>
      </c>
      <c r="D32" s="7" t="s">
        <v>24</v>
      </c>
      <c r="E32" s="7" t="s">
        <v>96</v>
      </c>
      <c r="F32" s="9">
        <v>1.0</v>
      </c>
      <c r="G32" s="9">
        <v>45000.0</v>
      </c>
      <c r="H32" s="10">
        <f t="shared" si="1"/>
        <v>45000</v>
      </c>
      <c r="I32" s="11" t="s">
        <v>27</v>
      </c>
      <c r="J32" s="11" t="s">
        <v>66</v>
      </c>
      <c r="K32" s="14"/>
      <c r="L32" s="10">
        <f t="shared" si="2"/>
        <v>10</v>
      </c>
      <c r="M32" s="10">
        <f t="shared" si="3"/>
        <v>2025</v>
      </c>
      <c r="N32" s="10">
        <f t="shared" si="4"/>
        <v>42</v>
      </c>
      <c r="O32" s="12" t="str">
        <f t="shared" si="5"/>
        <v>10-2025</v>
      </c>
    </row>
    <row r="33" ht="15.75" customHeight="1">
      <c r="A33" s="18">
        <v>45948.0</v>
      </c>
      <c r="B33" s="7" t="s">
        <v>97</v>
      </c>
      <c r="C33" s="7" t="s">
        <v>16</v>
      </c>
      <c r="D33" s="7" t="s">
        <v>98</v>
      </c>
      <c r="E33" s="7" t="s">
        <v>99</v>
      </c>
      <c r="F33" s="9">
        <v>1.0</v>
      </c>
      <c r="G33" s="9">
        <v>47700.0</v>
      </c>
      <c r="H33" s="10">
        <f t="shared" si="1"/>
        <v>47700</v>
      </c>
      <c r="I33" s="11" t="s">
        <v>27</v>
      </c>
      <c r="J33" s="11" t="s">
        <v>20</v>
      </c>
      <c r="K33" s="14"/>
      <c r="L33" s="10">
        <f t="shared" si="2"/>
        <v>10</v>
      </c>
      <c r="M33" s="10">
        <f t="shared" si="3"/>
        <v>2025</v>
      </c>
      <c r="N33" s="10">
        <f t="shared" si="4"/>
        <v>42</v>
      </c>
      <c r="O33" s="12" t="str">
        <f t="shared" si="5"/>
        <v>10-2025</v>
      </c>
    </row>
    <row r="34" ht="15.75" customHeight="1">
      <c r="A34" s="18">
        <v>45951.0</v>
      </c>
      <c r="B34" s="7" t="s">
        <v>100</v>
      </c>
      <c r="C34" s="7" t="s">
        <v>30</v>
      </c>
      <c r="D34" s="7" t="s">
        <v>30</v>
      </c>
      <c r="E34" s="7" t="s">
        <v>101</v>
      </c>
      <c r="F34" s="9">
        <v>1.0</v>
      </c>
      <c r="G34" s="9">
        <v>36000.0</v>
      </c>
      <c r="H34" s="10">
        <f t="shared" si="1"/>
        <v>36000</v>
      </c>
      <c r="I34" s="11" t="s">
        <v>19</v>
      </c>
      <c r="J34" s="11" t="s">
        <v>20</v>
      </c>
      <c r="K34" s="14"/>
      <c r="L34" s="10">
        <f t="shared" si="2"/>
        <v>10</v>
      </c>
      <c r="M34" s="10">
        <f t="shared" si="3"/>
        <v>2025</v>
      </c>
      <c r="N34" s="10">
        <f t="shared" si="4"/>
        <v>43</v>
      </c>
      <c r="O34" s="12" t="str">
        <f t="shared" si="5"/>
        <v>10-2025</v>
      </c>
    </row>
    <row r="35" ht="15.75" customHeight="1">
      <c r="A35" s="18">
        <v>45952.0</v>
      </c>
      <c r="B35" s="7" t="s">
        <v>102</v>
      </c>
      <c r="C35" s="7" t="s">
        <v>24</v>
      </c>
      <c r="D35" s="7" t="s">
        <v>24</v>
      </c>
      <c r="E35" s="7" t="s">
        <v>103</v>
      </c>
      <c r="F35" s="9">
        <v>1.0</v>
      </c>
      <c r="G35" s="9">
        <v>35000.0</v>
      </c>
      <c r="H35" s="10">
        <f t="shared" si="1"/>
        <v>35000</v>
      </c>
      <c r="I35" s="11" t="s">
        <v>19</v>
      </c>
      <c r="J35" s="11" t="s">
        <v>20</v>
      </c>
      <c r="K35" s="14"/>
      <c r="L35" s="10">
        <f t="shared" si="2"/>
        <v>10</v>
      </c>
      <c r="M35" s="10">
        <f t="shared" si="3"/>
        <v>2025</v>
      </c>
      <c r="N35" s="10">
        <f t="shared" si="4"/>
        <v>43</v>
      </c>
      <c r="O35" s="12" t="str">
        <f t="shared" si="5"/>
        <v>10-2025</v>
      </c>
    </row>
    <row r="36" ht="15.75" customHeight="1">
      <c r="A36" s="18">
        <v>45953.0</v>
      </c>
      <c r="B36" s="19" t="s">
        <v>104</v>
      </c>
      <c r="C36" s="7" t="s">
        <v>37</v>
      </c>
      <c r="D36" s="7" t="s">
        <v>87</v>
      </c>
      <c r="E36" s="7" t="s">
        <v>63</v>
      </c>
      <c r="F36" s="9">
        <v>1.0</v>
      </c>
      <c r="G36" s="9">
        <v>35000.0</v>
      </c>
      <c r="H36" s="10">
        <f t="shared" si="1"/>
        <v>35000</v>
      </c>
      <c r="I36" s="11" t="s">
        <v>27</v>
      </c>
      <c r="J36" s="11" t="s">
        <v>20</v>
      </c>
      <c r="K36" s="14"/>
      <c r="L36" s="10">
        <f t="shared" si="2"/>
        <v>10</v>
      </c>
      <c r="M36" s="10">
        <f t="shared" si="3"/>
        <v>2025</v>
      </c>
      <c r="N36" s="10">
        <f t="shared" si="4"/>
        <v>43</v>
      </c>
      <c r="O36" s="12" t="str">
        <f t="shared" si="5"/>
        <v>10-2025</v>
      </c>
    </row>
    <row r="37" ht="15.75" customHeight="1">
      <c r="A37" s="18">
        <v>45954.0</v>
      </c>
      <c r="B37" s="19" t="s">
        <v>105</v>
      </c>
      <c r="C37" s="7" t="s">
        <v>37</v>
      </c>
      <c r="D37" s="7" t="s">
        <v>106</v>
      </c>
      <c r="E37" s="7" t="s">
        <v>107</v>
      </c>
      <c r="F37" s="9">
        <v>1.0</v>
      </c>
      <c r="G37" s="9">
        <v>84000.0</v>
      </c>
      <c r="H37" s="10">
        <f t="shared" si="1"/>
        <v>84000</v>
      </c>
      <c r="I37" s="11" t="s">
        <v>27</v>
      </c>
      <c r="J37" s="11" t="s">
        <v>20</v>
      </c>
      <c r="K37" s="14"/>
      <c r="L37" s="10">
        <f t="shared" si="2"/>
        <v>10</v>
      </c>
      <c r="M37" s="10">
        <f t="shared" si="3"/>
        <v>2025</v>
      </c>
      <c r="N37" s="10">
        <f t="shared" si="4"/>
        <v>43</v>
      </c>
      <c r="O37" s="12" t="str">
        <f t="shared" si="5"/>
        <v>10-2025</v>
      </c>
    </row>
    <row r="38" ht="15.75" customHeight="1">
      <c r="A38" s="18">
        <v>45955.0</v>
      </c>
      <c r="B38" s="7" t="s">
        <v>108</v>
      </c>
      <c r="C38" s="7" t="s">
        <v>37</v>
      </c>
      <c r="D38" s="7" t="s">
        <v>87</v>
      </c>
      <c r="E38" s="7" t="s">
        <v>109</v>
      </c>
      <c r="F38" s="9">
        <v>1.0</v>
      </c>
      <c r="G38" s="9">
        <v>50000.0</v>
      </c>
      <c r="H38" s="10">
        <f t="shared" si="1"/>
        <v>50000</v>
      </c>
      <c r="I38" s="11" t="s">
        <v>27</v>
      </c>
      <c r="J38" s="11" t="s">
        <v>20</v>
      </c>
      <c r="K38" s="14"/>
      <c r="L38" s="10">
        <f t="shared" si="2"/>
        <v>10</v>
      </c>
      <c r="M38" s="10">
        <f t="shared" si="3"/>
        <v>2025</v>
      </c>
      <c r="N38" s="10">
        <f t="shared" si="4"/>
        <v>43</v>
      </c>
      <c r="O38" s="12" t="str">
        <f t="shared" si="5"/>
        <v>10-2025</v>
      </c>
    </row>
    <row r="39" ht="15.75" customHeight="1">
      <c r="A39" s="18">
        <v>45956.0</v>
      </c>
      <c r="B39" s="7" t="s">
        <v>110</v>
      </c>
      <c r="C39" s="7" t="s">
        <v>37</v>
      </c>
      <c r="D39" s="7" t="s">
        <v>87</v>
      </c>
      <c r="E39" s="7" t="s">
        <v>111</v>
      </c>
      <c r="F39" s="9">
        <v>1.0</v>
      </c>
      <c r="G39" s="9">
        <v>35000.0</v>
      </c>
      <c r="H39" s="10">
        <f t="shared" si="1"/>
        <v>35000</v>
      </c>
      <c r="I39" s="11" t="s">
        <v>27</v>
      </c>
      <c r="J39" s="11" t="s">
        <v>20</v>
      </c>
      <c r="K39" s="14"/>
      <c r="L39" s="10">
        <f t="shared" si="2"/>
        <v>10</v>
      </c>
      <c r="M39" s="10">
        <f t="shared" si="3"/>
        <v>2025</v>
      </c>
      <c r="N39" s="10">
        <f t="shared" si="4"/>
        <v>43</v>
      </c>
      <c r="O39" s="12" t="str">
        <f t="shared" si="5"/>
        <v>10-2025</v>
      </c>
    </row>
    <row r="40" ht="15.75" customHeight="1">
      <c r="A40" s="18">
        <v>45956.0</v>
      </c>
      <c r="B40" s="7" t="s">
        <v>110</v>
      </c>
      <c r="C40" s="7" t="s">
        <v>37</v>
      </c>
      <c r="D40" s="7" t="s">
        <v>87</v>
      </c>
      <c r="E40" s="7" t="s">
        <v>112</v>
      </c>
      <c r="F40" s="9">
        <v>1.0</v>
      </c>
      <c r="G40" s="9">
        <v>25000.0</v>
      </c>
      <c r="H40" s="10">
        <f t="shared" si="1"/>
        <v>25000</v>
      </c>
      <c r="I40" s="11" t="s">
        <v>27</v>
      </c>
      <c r="J40" s="11" t="s">
        <v>20</v>
      </c>
      <c r="K40" s="14"/>
      <c r="L40" s="10">
        <f t="shared" si="2"/>
        <v>10</v>
      </c>
      <c r="M40" s="10">
        <f t="shared" si="3"/>
        <v>2025</v>
      </c>
      <c r="N40" s="10">
        <f t="shared" si="4"/>
        <v>43</v>
      </c>
      <c r="O40" s="12" t="str">
        <f t="shared" si="5"/>
        <v>10-2025</v>
      </c>
    </row>
    <row r="41" ht="15.75" customHeight="1">
      <c r="A41" s="18">
        <v>45957.0</v>
      </c>
      <c r="B41" s="7" t="s">
        <v>113</v>
      </c>
      <c r="C41" s="7" t="s">
        <v>24</v>
      </c>
      <c r="D41" s="7" t="s">
        <v>114</v>
      </c>
      <c r="E41" s="7" t="s">
        <v>115</v>
      </c>
      <c r="F41" s="9">
        <v>1.0</v>
      </c>
      <c r="G41" s="9">
        <v>30000.0</v>
      </c>
      <c r="H41" s="10">
        <f t="shared" si="1"/>
        <v>30000</v>
      </c>
      <c r="I41" s="11" t="s">
        <v>27</v>
      </c>
      <c r="J41" s="11" t="s">
        <v>20</v>
      </c>
      <c r="K41" s="14"/>
      <c r="L41" s="10">
        <f t="shared" si="2"/>
        <v>10</v>
      </c>
      <c r="M41" s="10">
        <f t="shared" si="3"/>
        <v>2025</v>
      </c>
      <c r="N41" s="10">
        <f t="shared" si="4"/>
        <v>44</v>
      </c>
      <c r="O41" s="12" t="str">
        <f t="shared" si="5"/>
        <v>10-2025</v>
      </c>
    </row>
    <row r="42" ht="15.75" customHeight="1">
      <c r="A42" s="18">
        <v>45958.0</v>
      </c>
      <c r="B42" s="7" t="s">
        <v>116</v>
      </c>
      <c r="C42" s="7" t="s">
        <v>24</v>
      </c>
      <c r="D42" s="7" t="s">
        <v>24</v>
      </c>
      <c r="E42" s="7" t="s">
        <v>63</v>
      </c>
      <c r="F42" s="9">
        <v>1.0</v>
      </c>
      <c r="G42" s="9">
        <v>35000.0</v>
      </c>
      <c r="H42" s="10">
        <f t="shared" si="1"/>
        <v>35000</v>
      </c>
      <c r="I42" s="11" t="s">
        <v>27</v>
      </c>
      <c r="J42" s="11" t="s">
        <v>20</v>
      </c>
      <c r="K42" s="14"/>
      <c r="L42" s="10">
        <f t="shared" si="2"/>
        <v>10</v>
      </c>
      <c r="M42" s="10">
        <f t="shared" si="3"/>
        <v>2025</v>
      </c>
      <c r="N42" s="10">
        <f t="shared" si="4"/>
        <v>44</v>
      </c>
      <c r="O42" s="12" t="str">
        <f t="shared" si="5"/>
        <v>10-2025</v>
      </c>
    </row>
    <row r="43" ht="15.75" customHeight="1">
      <c r="A43" s="18">
        <v>45958.0</v>
      </c>
      <c r="B43" s="7" t="s">
        <v>117</v>
      </c>
      <c r="C43" s="7" t="s">
        <v>37</v>
      </c>
      <c r="D43" s="7" t="s">
        <v>87</v>
      </c>
      <c r="E43" s="7" t="s">
        <v>115</v>
      </c>
      <c r="F43" s="9">
        <v>1.0</v>
      </c>
      <c r="G43" s="9">
        <v>30000.0</v>
      </c>
      <c r="H43" s="10">
        <f t="shared" si="1"/>
        <v>30000</v>
      </c>
      <c r="I43" s="11" t="s">
        <v>27</v>
      </c>
      <c r="J43" s="11" t="s">
        <v>20</v>
      </c>
      <c r="K43" s="14"/>
      <c r="L43" s="10">
        <f t="shared" si="2"/>
        <v>10</v>
      </c>
      <c r="M43" s="10">
        <f t="shared" si="3"/>
        <v>2025</v>
      </c>
      <c r="N43" s="10">
        <f t="shared" si="4"/>
        <v>44</v>
      </c>
      <c r="O43" s="12" t="str">
        <f t="shared" si="5"/>
        <v>10-2025</v>
      </c>
    </row>
    <row r="44" ht="15.75" customHeight="1">
      <c r="A44" s="18">
        <v>45959.0</v>
      </c>
      <c r="B44" s="7" t="s">
        <v>118</v>
      </c>
      <c r="C44" s="7" t="s">
        <v>37</v>
      </c>
      <c r="D44" s="7" t="s">
        <v>119</v>
      </c>
      <c r="E44" s="7" t="s">
        <v>120</v>
      </c>
      <c r="F44" s="9">
        <v>1.0</v>
      </c>
      <c r="G44" s="9">
        <v>67500.0</v>
      </c>
      <c r="H44" s="10">
        <f t="shared" si="1"/>
        <v>67500</v>
      </c>
      <c r="I44" s="11" t="s">
        <v>27</v>
      </c>
      <c r="J44" s="11" t="s">
        <v>20</v>
      </c>
      <c r="K44" s="14"/>
      <c r="L44" s="10">
        <f t="shared" si="2"/>
        <v>10</v>
      </c>
      <c r="M44" s="10">
        <f t="shared" si="3"/>
        <v>2025</v>
      </c>
      <c r="N44" s="10">
        <f t="shared" si="4"/>
        <v>44</v>
      </c>
      <c r="O44" s="12" t="str">
        <f t="shared" si="5"/>
        <v>10-2025</v>
      </c>
    </row>
    <row r="45" ht="15.75" customHeight="1">
      <c r="A45" s="18">
        <v>45960.0</v>
      </c>
      <c r="B45" s="7" t="s">
        <v>121</v>
      </c>
      <c r="C45" s="7" t="s">
        <v>24</v>
      </c>
      <c r="D45" s="7" t="s">
        <v>24</v>
      </c>
      <c r="E45" s="7" t="s">
        <v>83</v>
      </c>
      <c r="F45" s="9">
        <v>1.0</v>
      </c>
      <c r="G45" s="9">
        <v>20000.0</v>
      </c>
      <c r="H45" s="10">
        <f t="shared" si="1"/>
        <v>20000</v>
      </c>
      <c r="I45" s="11" t="s">
        <v>27</v>
      </c>
      <c r="J45" s="11" t="s">
        <v>20</v>
      </c>
      <c r="K45" s="14"/>
      <c r="L45" s="10">
        <f t="shared" si="2"/>
        <v>10</v>
      </c>
      <c r="M45" s="10">
        <f t="shared" si="3"/>
        <v>2025</v>
      </c>
      <c r="N45" s="10">
        <f t="shared" si="4"/>
        <v>44</v>
      </c>
      <c r="O45" s="12" t="str">
        <f t="shared" si="5"/>
        <v>10-2025</v>
      </c>
    </row>
    <row r="46" ht="15.75" customHeight="1">
      <c r="A46" s="18">
        <v>45961.0</v>
      </c>
      <c r="B46" s="7" t="s">
        <v>122</v>
      </c>
      <c r="C46" s="7" t="s">
        <v>123</v>
      </c>
      <c r="D46" s="7" t="s">
        <v>123</v>
      </c>
      <c r="E46" s="7" t="s">
        <v>56</v>
      </c>
      <c r="F46" s="9">
        <v>1.0</v>
      </c>
      <c r="G46" s="9">
        <v>30000.0</v>
      </c>
      <c r="H46" s="10">
        <f t="shared" si="1"/>
        <v>30000</v>
      </c>
      <c r="I46" s="11" t="s">
        <v>27</v>
      </c>
      <c r="J46" s="11" t="s">
        <v>20</v>
      </c>
      <c r="K46" s="14"/>
      <c r="L46" s="10">
        <f t="shared" si="2"/>
        <v>10</v>
      </c>
      <c r="M46" s="10">
        <f t="shared" si="3"/>
        <v>2025</v>
      </c>
      <c r="N46" s="10">
        <f t="shared" si="4"/>
        <v>44</v>
      </c>
      <c r="O46" s="12" t="str">
        <f t="shared" si="5"/>
        <v>10-2025</v>
      </c>
    </row>
    <row r="47" ht="15.75" customHeight="1">
      <c r="A47" s="18">
        <v>45962.0</v>
      </c>
      <c r="B47" s="7" t="s">
        <v>124</v>
      </c>
      <c r="C47" s="7" t="s">
        <v>30</v>
      </c>
      <c r="D47" s="7" t="s">
        <v>30</v>
      </c>
      <c r="E47" s="7" t="s">
        <v>125</v>
      </c>
      <c r="F47" s="9">
        <v>1.0</v>
      </c>
      <c r="G47" s="9">
        <v>45000.0</v>
      </c>
      <c r="H47" s="10">
        <f t="shared" si="1"/>
        <v>45000</v>
      </c>
      <c r="I47" s="11" t="s">
        <v>27</v>
      </c>
      <c r="J47" s="11" t="s">
        <v>20</v>
      </c>
      <c r="K47" s="14"/>
      <c r="L47" s="10">
        <f t="shared" si="2"/>
        <v>11</v>
      </c>
      <c r="M47" s="10">
        <f t="shared" si="3"/>
        <v>2025</v>
      </c>
      <c r="N47" s="10">
        <f t="shared" si="4"/>
        <v>44</v>
      </c>
      <c r="O47" s="12" t="str">
        <f t="shared" si="5"/>
        <v>11-2025</v>
      </c>
    </row>
    <row r="48" ht="15.75" customHeight="1">
      <c r="A48" s="16">
        <v>45964.0</v>
      </c>
      <c r="B48" s="19" t="s">
        <v>126</v>
      </c>
      <c r="C48" s="7" t="s">
        <v>37</v>
      </c>
      <c r="D48" s="7" t="s">
        <v>37</v>
      </c>
      <c r="E48" s="7" t="s">
        <v>127</v>
      </c>
      <c r="F48" s="9">
        <v>1.0</v>
      </c>
      <c r="G48" s="9">
        <v>35000.0</v>
      </c>
      <c r="H48" s="10">
        <f t="shared" si="1"/>
        <v>35000</v>
      </c>
      <c r="I48" s="11" t="s">
        <v>27</v>
      </c>
      <c r="J48" s="11" t="s">
        <v>20</v>
      </c>
      <c r="K48" s="14"/>
      <c r="L48" s="10">
        <f t="shared" si="2"/>
        <v>11</v>
      </c>
      <c r="M48" s="10">
        <f t="shared" si="3"/>
        <v>2025</v>
      </c>
      <c r="N48" s="10">
        <f t="shared" si="4"/>
        <v>45</v>
      </c>
      <c r="O48" s="12" t="str">
        <f t="shared" si="5"/>
        <v>11-2025</v>
      </c>
    </row>
    <row r="49" ht="15.75" customHeight="1">
      <c r="A49" s="16">
        <v>45965.0</v>
      </c>
      <c r="B49" s="19" t="s">
        <v>128</v>
      </c>
      <c r="C49" s="7" t="s">
        <v>24</v>
      </c>
      <c r="D49" s="7" t="s">
        <v>129</v>
      </c>
      <c r="E49" s="7" t="s">
        <v>130</v>
      </c>
      <c r="F49" s="9">
        <v>1.0</v>
      </c>
      <c r="G49" s="9">
        <v>45000.0</v>
      </c>
      <c r="H49" s="10">
        <f t="shared" si="1"/>
        <v>45000</v>
      </c>
      <c r="I49" s="11" t="s">
        <v>27</v>
      </c>
      <c r="J49" s="11" t="s">
        <v>20</v>
      </c>
      <c r="K49" s="14"/>
      <c r="L49" s="10">
        <f t="shared" si="2"/>
        <v>11</v>
      </c>
      <c r="M49" s="10">
        <f t="shared" si="3"/>
        <v>2025</v>
      </c>
      <c r="N49" s="10">
        <f t="shared" si="4"/>
        <v>45</v>
      </c>
      <c r="O49" s="12" t="str">
        <f t="shared" si="5"/>
        <v>11-2025</v>
      </c>
    </row>
    <row r="50" ht="15.75" customHeight="1">
      <c r="A50" s="16">
        <v>45966.0</v>
      </c>
      <c r="B50" s="7" t="s">
        <v>131</v>
      </c>
      <c r="C50" s="7" t="s">
        <v>37</v>
      </c>
      <c r="D50" s="7" t="s">
        <v>37</v>
      </c>
      <c r="E50" s="7" t="s">
        <v>56</v>
      </c>
      <c r="F50" s="9">
        <v>1.0</v>
      </c>
      <c r="G50" s="9">
        <v>30000.0</v>
      </c>
      <c r="H50" s="10">
        <f t="shared" si="1"/>
        <v>30000</v>
      </c>
      <c r="I50" s="11" t="s">
        <v>27</v>
      </c>
      <c r="J50" s="11" t="s">
        <v>20</v>
      </c>
      <c r="K50" s="14"/>
      <c r="L50" s="10">
        <f t="shared" si="2"/>
        <v>11</v>
      </c>
      <c r="M50" s="10">
        <f t="shared" si="3"/>
        <v>2025</v>
      </c>
      <c r="N50" s="10">
        <f t="shared" si="4"/>
        <v>45</v>
      </c>
      <c r="O50" s="12" t="str">
        <f t="shared" si="5"/>
        <v>11-2025</v>
      </c>
    </row>
    <row r="51" ht="15.75" customHeight="1">
      <c r="A51" s="16">
        <v>45968.0</v>
      </c>
      <c r="B51" s="19" t="s">
        <v>132</v>
      </c>
      <c r="C51" s="7" t="s">
        <v>24</v>
      </c>
      <c r="D51" s="7" t="s">
        <v>133</v>
      </c>
      <c r="E51" s="7" t="s">
        <v>103</v>
      </c>
      <c r="F51" s="9">
        <v>1.0</v>
      </c>
      <c r="G51" s="9">
        <v>35000.0</v>
      </c>
      <c r="H51" s="10">
        <f t="shared" si="1"/>
        <v>35000</v>
      </c>
      <c r="I51" s="11" t="s">
        <v>27</v>
      </c>
      <c r="J51" s="11" t="s">
        <v>20</v>
      </c>
      <c r="K51" s="14"/>
      <c r="L51" s="10">
        <f t="shared" si="2"/>
        <v>11</v>
      </c>
      <c r="M51" s="10">
        <f t="shared" si="3"/>
        <v>2025</v>
      </c>
      <c r="N51" s="10">
        <f t="shared" si="4"/>
        <v>45</v>
      </c>
      <c r="O51" s="12" t="str">
        <f t="shared" si="5"/>
        <v>11-2025</v>
      </c>
    </row>
    <row r="52" ht="15.75" customHeight="1">
      <c r="A52" s="16">
        <v>45969.0</v>
      </c>
      <c r="B52" s="20" t="s">
        <v>134</v>
      </c>
      <c r="C52" s="21" t="s">
        <v>37</v>
      </c>
      <c r="D52" s="21" t="s">
        <v>37</v>
      </c>
      <c r="E52" s="21" t="s">
        <v>135</v>
      </c>
      <c r="F52" s="22">
        <v>1.0</v>
      </c>
      <c r="G52" s="22">
        <v>50000.0</v>
      </c>
      <c r="H52" s="23">
        <f t="shared" si="1"/>
        <v>50000</v>
      </c>
      <c r="I52" s="24" t="s">
        <v>27</v>
      </c>
      <c r="J52" s="24" t="s">
        <v>20</v>
      </c>
      <c r="K52" s="11" t="s">
        <v>22</v>
      </c>
      <c r="L52" s="23">
        <f t="shared" si="2"/>
        <v>11</v>
      </c>
      <c r="M52" s="23">
        <f t="shared" si="3"/>
        <v>2025</v>
      </c>
      <c r="N52" s="23">
        <f t="shared" si="4"/>
        <v>45</v>
      </c>
      <c r="O52" s="12" t="str">
        <f t="shared" si="5"/>
        <v>11-2025</v>
      </c>
    </row>
    <row r="53" ht="15.75" customHeight="1">
      <c r="A53" s="25">
        <v>45972.0</v>
      </c>
      <c r="B53" s="20" t="s">
        <v>136</v>
      </c>
      <c r="C53" s="21" t="s">
        <v>37</v>
      </c>
      <c r="D53" s="21" t="s">
        <v>137</v>
      </c>
      <c r="E53" s="21" t="s">
        <v>138</v>
      </c>
      <c r="F53" s="22">
        <v>1.0</v>
      </c>
      <c r="G53" s="22">
        <v>59500.0</v>
      </c>
      <c r="H53" s="23">
        <f t="shared" si="1"/>
        <v>59500</v>
      </c>
      <c r="I53" s="24" t="s">
        <v>27</v>
      </c>
      <c r="J53" s="24" t="s">
        <v>20</v>
      </c>
      <c r="K53" s="14"/>
      <c r="L53" s="23">
        <f t="shared" si="2"/>
        <v>11</v>
      </c>
      <c r="M53" s="23">
        <f t="shared" si="3"/>
        <v>2025</v>
      </c>
      <c r="N53" s="23">
        <f t="shared" si="4"/>
        <v>46</v>
      </c>
      <c r="O53" s="12" t="str">
        <f t="shared" si="5"/>
        <v>11-2025</v>
      </c>
    </row>
    <row r="54" ht="15.75" customHeight="1">
      <c r="A54" s="25">
        <v>45973.0</v>
      </c>
      <c r="B54" s="20" t="s">
        <v>139</v>
      </c>
      <c r="C54" s="21" t="s">
        <v>30</v>
      </c>
      <c r="D54" s="21" t="s">
        <v>140</v>
      </c>
      <c r="E54" s="21" t="s">
        <v>141</v>
      </c>
      <c r="F54" s="22">
        <v>1.0</v>
      </c>
      <c r="G54" s="22">
        <v>60000.0</v>
      </c>
      <c r="H54" s="23">
        <f t="shared" si="1"/>
        <v>60000</v>
      </c>
      <c r="I54" s="24" t="s">
        <v>27</v>
      </c>
      <c r="J54" s="24" t="s">
        <v>20</v>
      </c>
      <c r="K54" s="14"/>
      <c r="L54" s="23">
        <f t="shared" si="2"/>
        <v>11</v>
      </c>
      <c r="M54" s="23">
        <f t="shared" si="3"/>
        <v>2025</v>
      </c>
      <c r="N54" s="23">
        <f t="shared" si="4"/>
        <v>46</v>
      </c>
      <c r="O54" s="12" t="str">
        <f t="shared" si="5"/>
        <v>11-2025</v>
      </c>
    </row>
    <row r="55" ht="15.75" customHeight="1">
      <c r="A55" s="25">
        <v>45974.0</v>
      </c>
      <c r="B55" s="20" t="s">
        <v>142</v>
      </c>
      <c r="C55" s="21" t="s">
        <v>37</v>
      </c>
      <c r="D55" s="21" t="s">
        <v>87</v>
      </c>
      <c r="E55" s="21" t="s">
        <v>143</v>
      </c>
      <c r="F55" s="22">
        <v>1.0</v>
      </c>
      <c r="G55" s="22">
        <v>72000.0</v>
      </c>
      <c r="H55" s="23">
        <f t="shared" si="1"/>
        <v>72000</v>
      </c>
      <c r="I55" s="24" t="s">
        <v>27</v>
      </c>
      <c r="J55" s="24" t="s">
        <v>20</v>
      </c>
      <c r="K55" s="14"/>
      <c r="L55" s="23">
        <f t="shared" si="2"/>
        <v>11</v>
      </c>
      <c r="M55" s="23">
        <f t="shared" si="3"/>
        <v>2025</v>
      </c>
      <c r="N55" s="23">
        <f t="shared" si="4"/>
        <v>46</v>
      </c>
      <c r="O55" s="12" t="str">
        <f t="shared" si="5"/>
        <v>11-2025</v>
      </c>
    </row>
    <row r="56" ht="15.75" customHeight="1">
      <c r="A56" s="25">
        <v>45974.0</v>
      </c>
      <c r="B56" s="19" t="s">
        <v>144</v>
      </c>
      <c r="C56" s="21" t="s">
        <v>30</v>
      </c>
      <c r="D56" s="21" t="s">
        <v>30</v>
      </c>
      <c r="E56" s="21" t="s">
        <v>56</v>
      </c>
      <c r="F56" s="22">
        <v>1.0</v>
      </c>
      <c r="G56" s="22">
        <v>30000.0</v>
      </c>
      <c r="H56" s="23">
        <f t="shared" si="1"/>
        <v>30000</v>
      </c>
      <c r="I56" s="24" t="s">
        <v>27</v>
      </c>
      <c r="J56" s="24" t="s">
        <v>20</v>
      </c>
      <c r="K56" s="14"/>
      <c r="L56" s="23">
        <f t="shared" si="2"/>
        <v>11</v>
      </c>
      <c r="M56" s="23">
        <f t="shared" si="3"/>
        <v>2025</v>
      </c>
      <c r="N56" s="23">
        <f t="shared" si="4"/>
        <v>46</v>
      </c>
      <c r="O56" s="12" t="str">
        <f t="shared" si="5"/>
        <v>11-2025</v>
      </c>
    </row>
    <row r="57" ht="15.75" customHeight="1">
      <c r="A57" s="25">
        <v>45975.0</v>
      </c>
      <c r="B57" s="19" t="s">
        <v>145</v>
      </c>
      <c r="C57" s="21" t="s">
        <v>37</v>
      </c>
      <c r="D57" s="21" t="s">
        <v>87</v>
      </c>
      <c r="E57" s="21" t="s">
        <v>146</v>
      </c>
      <c r="F57" s="22">
        <v>1.0</v>
      </c>
      <c r="G57" s="22">
        <v>58500.0</v>
      </c>
      <c r="H57" s="23">
        <f t="shared" si="1"/>
        <v>58500</v>
      </c>
      <c r="I57" s="24" t="s">
        <v>19</v>
      </c>
      <c r="J57" s="24" t="s">
        <v>20</v>
      </c>
      <c r="K57" s="14"/>
      <c r="L57" s="23">
        <f t="shared" si="2"/>
        <v>11</v>
      </c>
      <c r="M57" s="23">
        <f t="shared" si="3"/>
        <v>2025</v>
      </c>
      <c r="N57" s="23">
        <f t="shared" si="4"/>
        <v>46</v>
      </c>
      <c r="O57" s="12" t="str">
        <f t="shared" si="5"/>
        <v>11-2025</v>
      </c>
    </row>
    <row r="58" ht="15.75" customHeight="1">
      <c r="A58" s="25">
        <v>45978.0</v>
      </c>
      <c r="B58" s="20" t="s">
        <v>147</v>
      </c>
      <c r="C58" s="21" t="s">
        <v>37</v>
      </c>
      <c r="D58" s="21" t="s">
        <v>148</v>
      </c>
      <c r="E58" s="21" t="s">
        <v>149</v>
      </c>
      <c r="F58" s="22">
        <v>1.0</v>
      </c>
      <c r="G58" s="22">
        <v>76000.0</v>
      </c>
      <c r="H58" s="23">
        <f t="shared" si="1"/>
        <v>76000</v>
      </c>
      <c r="I58" s="24" t="s">
        <v>27</v>
      </c>
      <c r="J58" s="24" t="s">
        <v>20</v>
      </c>
      <c r="K58" s="14"/>
      <c r="L58" s="23">
        <f t="shared" si="2"/>
        <v>11</v>
      </c>
      <c r="M58" s="23">
        <f t="shared" si="3"/>
        <v>2025</v>
      </c>
      <c r="N58" s="23">
        <f t="shared" si="4"/>
        <v>47</v>
      </c>
      <c r="O58" s="12" t="str">
        <f t="shared" si="5"/>
        <v>11-2025</v>
      </c>
    </row>
    <row r="59" ht="15.75" customHeight="1">
      <c r="A59" s="25">
        <v>45979.0</v>
      </c>
      <c r="B59" s="19" t="s">
        <v>150</v>
      </c>
      <c r="C59" s="21" t="s">
        <v>24</v>
      </c>
      <c r="D59" s="21" t="s">
        <v>24</v>
      </c>
      <c r="E59" s="21" t="s">
        <v>151</v>
      </c>
      <c r="F59" s="22">
        <v>1.0</v>
      </c>
      <c r="G59" s="22">
        <v>45000.0</v>
      </c>
      <c r="H59" s="23">
        <f t="shared" si="1"/>
        <v>45000</v>
      </c>
      <c r="I59" s="24" t="s">
        <v>27</v>
      </c>
      <c r="J59" s="24" t="s">
        <v>20</v>
      </c>
      <c r="K59" s="14"/>
      <c r="L59" s="23">
        <f t="shared" si="2"/>
        <v>11</v>
      </c>
      <c r="M59" s="23">
        <f t="shared" si="3"/>
        <v>2025</v>
      </c>
      <c r="N59" s="23">
        <f t="shared" si="4"/>
        <v>47</v>
      </c>
      <c r="O59" s="12" t="str">
        <f t="shared" si="5"/>
        <v>11-2025</v>
      </c>
    </row>
    <row r="60" ht="15.75" customHeight="1">
      <c r="A60" s="25">
        <v>45979.0</v>
      </c>
      <c r="B60" s="20" t="s">
        <v>152</v>
      </c>
      <c r="C60" s="21" t="s">
        <v>37</v>
      </c>
      <c r="D60" s="21" t="s">
        <v>87</v>
      </c>
      <c r="E60" s="21" t="s">
        <v>58</v>
      </c>
      <c r="F60" s="22">
        <v>1.0</v>
      </c>
      <c r="G60" s="22">
        <v>35000.0</v>
      </c>
      <c r="H60" s="23">
        <f t="shared" si="1"/>
        <v>35000</v>
      </c>
      <c r="I60" s="24" t="s">
        <v>27</v>
      </c>
      <c r="J60" s="24" t="s">
        <v>20</v>
      </c>
      <c r="K60" s="14"/>
      <c r="L60" s="23">
        <f t="shared" si="2"/>
        <v>11</v>
      </c>
      <c r="M60" s="23">
        <f t="shared" si="3"/>
        <v>2025</v>
      </c>
      <c r="N60" s="23">
        <f t="shared" si="4"/>
        <v>47</v>
      </c>
      <c r="O60" s="12" t="str">
        <f t="shared" si="5"/>
        <v>11-2025</v>
      </c>
    </row>
    <row r="61" ht="15.75" customHeight="1">
      <c r="A61" s="25">
        <v>45986.0</v>
      </c>
      <c r="B61" s="20" t="s">
        <v>153</v>
      </c>
      <c r="C61" s="21" t="s">
        <v>37</v>
      </c>
      <c r="D61" s="21" t="s">
        <v>154</v>
      </c>
      <c r="E61" s="21" t="s">
        <v>155</v>
      </c>
      <c r="F61" s="22">
        <v>1.0</v>
      </c>
      <c r="G61" s="22">
        <v>30000.0</v>
      </c>
      <c r="H61" s="23">
        <f t="shared" si="1"/>
        <v>30000</v>
      </c>
      <c r="I61" s="24" t="s">
        <v>27</v>
      </c>
      <c r="J61" s="24" t="s">
        <v>20</v>
      </c>
      <c r="K61" s="14"/>
      <c r="L61" s="23">
        <f t="shared" si="2"/>
        <v>11</v>
      </c>
      <c r="M61" s="23">
        <f t="shared" si="3"/>
        <v>2025</v>
      </c>
      <c r="N61" s="23">
        <f t="shared" si="4"/>
        <v>48</v>
      </c>
      <c r="O61" s="12" t="str">
        <f t="shared" si="5"/>
        <v>11-2025</v>
      </c>
    </row>
    <row r="62" ht="15.75" customHeight="1">
      <c r="A62" s="25">
        <v>45986.0</v>
      </c>
      <c r="B62" s="19" t="s">
        <v>156</v>
      </c>
      <c r="C62" s="21" t="s">
        <v>37</v>
      </c>
      <c r="D62" s="21" t="s">
        <v>37</v>
      </c>
      <c r="E62" s="21" t="s">
        <v>157</v>
      </c>
      <c r="F62" s="22">
        <v>1.0</v>
      </c>
      <c r="G62" s="22">
        <v>15000.0</v>
      </c>
      <c r="H62" s="23">
        <f t="shared" si="1"/>
        <v>15000</v>
      </c>
      <c r="I62" s="24" t="s">
        <v>27</v>
      </c>
      <c r="J62" s="24" t="s">
        <v>20</v>
      </c>
      <c r="K62" s="14"/>
      <c r="L62" s="23">
        <f t="shared" si="2"/>
        <v>11</v>
      </c>
      <c r="M62" s="23">
        <f t="shared" si="3"/>
        <v>2025</v>
      </c>
      <c r="N62" s="23">
        <f t="shared" si="4"/>
        <v>48</v>
      </c>
      <c r="O62" s="12" t="str">
        <f t="shared" si="5"/>
        <v>11-2025</v>
      </c>
    </row>
    <row r="63" ht="15.75" customHeight="1">
      <c r="A63" s="25">
        <v>45987.0</v>
      </c>
      <c r="B63" s="19" t="s">
        <v>158</v>
      </c>
      <c r="C63" s="21" t="s">
        <v>24</v>
      </c>
      <c r="D63" s="21" t="s">
        <v>24</v>
      </c>
      <c r="E63" s="21" t="s">
        <v>103</v>
      </c>
      <c r="F63" s="22">
        <v>1.0</v>
      </c>
      <c r="G63" s="22">
        <v>45000.0</v>
      </c>
      <c r="H63" s="23">
        <f t="shared" si="1"/>
        <v>45000</v>
      </c>
      <c r="I63" s="24" t="s">
        <v>19</v>
      </c>
      <c r="J63" s="24" t="s">
        <v>20</v>
      </c>
      <c r="K63" s="14"/>
      <c r="L63" s="23">
        <f t="shared" si="2"/>
        <v>11</v>
      </c>
      <c r="M63" s="23">
        <f t="shared" si="3"/>
        <v>2025</v>
      </c>
      <c r="N63" s="23">
        <f t="shared" si="4"/>
        <v>48</v>
      </c>
      <c r="O63" s="12" t="str">
        <f t="shared" si="5"/>
        <v>11-2025</v>
      </c>
    </row>
    <row r="64" ht="15.75" customHeight="1">
      <c r="A64" s="25">
        <v>45988.0</v>
      </c>
      <c r="B64" s="20" t="s">
        <v>159</v>
      </c>
      <c r="C64" s="21" t="s">
        <v>37</v>
      </c>
      <c r="D64" s="21" t="s">
        <v>37</v>
      </c>
      <c r="E64" s="21" t="s">
        <v>160</v>
      </c>
      <c r="F64" s="22">
        <v>1.0</v>
      </c>
      <c r="G64" s="22">
        <v>35000.0</v>
      </c>
      <c r="H64" s="23">
        <f t="shared" si="1"/>
        <v>35000</v>
      </c>
      <c r="I64" s="24" t="s">
        <v>27</v>
      </c>
      <c r="J64" s="24" t="s">
        <v>20</v>
      </c>
      <c r="K64" s="14"/>
      <c r="L64" s="23">
        <f t="shared" si="2"/>
        <v>11</v>
      </c>
      <c r="M64" s="23">
        <f t="shared" si="3"/>
        <v>2025</v>
      </c>
      <c r="N64" s="23">
        <f t="shared" si="4"/>
        <v>48</v>
      </c>
      <c r="O64" s="12" t="str">
        <f t="shared" si="5"/>
        <v>11-2025</v>
      </c>
    </row>
    <row r="65" ht="15.75" customHeight="1">
      <c r="A65" s="25">
        <v>45989.0</v>
      </c>
      <c r="B65" s="19" t="s">
        <v>161</v>
      </c>
      <c r="C65" s="21" t="s">
        <v>30</v>
      </c>
      <c r="D65" s="21" t="s">
        <v>162</v>
      </c>
      <c r="E65" s="21" t="s">
        <v>160</v>
      </c>
      <c r="F65" s="22">
        <v>1.0</v>
      </c>
      <c r="G65" s="22">
        <v>35000.0</v>
      </c>
      <c r="H65" s="23">
        <f t="shared" si="1"/>
        <v>35000</v>
      </c>
      <c r="I65" s="24" t="s">
        <v>27</v>
      </c>
      <c r="J65" s="24" t="s">
        <v>20</v>
      </c>
      <c r="K65" s="14"/>
      <c r="L65" s="23">
        <f t="shared" si="2"/>
        <v>11</v>
      </c>
      <c r="M65" s="23">
        <f t="shared" si="3"/>
        <v>2025</v>
      </c>
      <c r="N65" s="23">
        <f t="shared" si="4"/>
        <v>48</v>
      </c>
      <c r="O65" s="12" t="str">
        <f t="shared" si="5"/>
        <v>11-2025</v>
      </c>
    </row>
    <row r="66" ht="15.75" customHeight="1">
      <c r="A66" s="25">
        <v>45989.0</v>
      </c>
      <c r="B66" s="20" t="s">
        <v>163</v>
      </c>
      <c r="C66" s="21" t="s">
        <v>37</v>
      </c>
      <c r="D66" s="21" t="s">
        <v>164</v>
      </c>
      <c r="E66" s="21" t="s">
        <v>165</v>
      </c>
      <c r="F66" s="22">
        <v>1.0</v>
      </c>
      <c r="G66" s="22">
        <v>63000.0</v>
      </c>
      <c r="H66" s="23">
        <f t="shared" si="1"/>
        <v>63000</v>
      </c>
      <c r="I66" s="24" t="s">
        <v>27</v>
      </c>
      <c r="J66" s="24" t="s">
        <v>20</v>
      </c>
      <c r="K66" s="14"/>
      <c r="L66" s="23">
        <f t="shared" si="2"/>
        <v>11</v>
      </c>
      <c r="M66" s="23">
        <f t="shared" si="3"/>
        <v>2025</v>
      </c>
      <c r="N66" s="23">
        <f t="shared" si="4"/>
        <v>48</v>
      </c>
      <c r="O66" s="12" t="str">
        <f t="shared" si="5"/>
        <v>11-2025</v>
      </c>
    </row>
    <row r="67" ht="15.75" customHeight="1">
      <c r="A67" s="25">
        <v>45993.0</v>
      </c>
      <c r="B67" s="19" t="s">
        <v>166</v>
      </c>
      <c r="C67" s="21" t="s">
        <v>24</v>
      </c>
      <c r="D67" s="21" t="s">
        <v>167</v>
      </c>
      <c r="E67" s="21" t="s">
        <v>107</v>
      </c>
      <c r="F67" s="22">
        <v>1.0</v>
      </c>
      <c r="G67" s="22">
        <v>103500.0</v>
      </c>
      <c r="H67" s="23">
        <f t="shared" si="1"/>
        <v>103500</v>
      </c>
      <c r="I67" s="24" t="s">
        <v>27</v>
      </c>
      <c r="J67" s="24" t="s">
        <v>20</v>
      </c>
      <c r="K67" s="14"/>
      <c r="L67" s="23">
        <f t="shared" si="2"/>
        <v>12</v>
      </c>
      <c r="M67" s="23">
        <f t="shared" si="3"/>
        <v>2025</v>
      </c>
      <c r="N67" s="23">
        <f t="shared" si="4"/>
        <v>49</v>
      </c>
      <c r="O67" s="12" t="str">
        <f t="shared" si="5"/>
        <v>12-2025</v>
      </c>
    </row>
    <row r="68" ht="15.75" customHeight="1">
      <c r="A68" s="25">
        <v>45994.0</v>
      </c>
      <c r="B68" s="19" t="s">
        <v>168</v>
      </c>
      <c r="C68" s="21" t="s">
        <v>37</v>
      </c>
      <c r="D68" s="21" t="s">
        <v>37</v>
      </c>
      <c r="E68" s="21" t="s">
        <v>169</v>
      </c>
      <c r="F68" s="22">
        <v>1.0</v>
      </c>
      <c r="G68" s="22">
        <v>40000.0</v>
      </c>
      <c r="H68" s="23">
        <f t="shared" si="1"/>
        <v>40000</v>
      </c>
      <c r="I68" s="24" t="s">
        <v>27</v>
      </c>
      <c r="J68" s="24" t="s">
        <v>20</v>
      </c>
      <c r="K68" s="14"/>
      <c r="L68" s="23">
        <f t="shared" si="2"/>
        <v>12</v>
      </c>
      <c r="M68" s="23">
        <f t="shared" si="3"/>
        <v>2025</v>
      </c>
      <c r="N68" s="23">
        <f t="shared" si="4"/>
        <v>49</v>
      </c>
      <c r="O68" s="12" t="str">
        <f t="shared" si="5"/>
        <v>12-2025</v>
      </c>
    </row>
    <row r="69" ht="15.75" customHeight="1">
      <c r="A69" s="25">
        <v>45995.0</v>
      </c>
      <c r="B69" s="19" t="s">
        <v>170</v>
      </c>
      <c r="C69" s="21" t="s">
        <v>171</v>
      </c>
      <c r="D69" s="21" t="s">
        <v>171</v>
      </c>
      <c r="E69" s="21" t="s">
        <v>172</v>
      </c>
      <c r="F69" s="22">
        <v>1.0</v>
      </c>
      <c r="G69" s="17">
        <v>35000.0</v>
      </c>
      <c r="H69" s="23">
        <f t="shared" si="1"/>
        <v>35000</v>
      </c>
      <c r="I69" s="24" t="s">
        <v>27</v>
      </c>
      <c r="J69" s="24" t="s">
        <v>20</v>
      </c>
      <c r="K69" s="14"/>
      <c r="L69" s="23">
        <f t="shared" si="2"/>
        <v>12</v>
      </c>
      <c r="M69" s="23">
        <f t="shared" si="3"/>
        <v>2025</v>
      </c>
      <c r="N69" s="23">
        <f t="shared" si="4"/>
        <v>49</v>
      </c>
      <c r="O69" s="12" t="str">
        <f t="shared" si="5"/>
        <v>12-2025</v>
      </c>
    </row>
    <row r="70" ht="15.75" customHeight="1">
      <c r="A70" s="25">
        <v>45995.0</v>
      </c>
      <c r="B70" s="7" t="s">
        <v>173</v>
      </c>
      <c r="C70" s="21" t="s">
        <v>24</v>
      </c>
      <c r="D70" s="21" t="s">
        <v>24</v>
      </c>
      <c r="E70" s="21" t="s">
        <v>174</v>
      </c>
      <c r="F70" s="22">
        <v>1.0</v>
      </c>
      <c r="G70" s="26">
        <v>35000.0</v>
      </c>
      <c r="H70" s="23">
        <f t="shared" si="1"/>
        <v>35000</v>
      </c>
      <c r="I70" s="24" t="s">
        <v>27</v>
      </c>
      <c r="J70" s="24" t="s">
        <v>20</v>
      </c>
      <c r="K70" s="14"/>
      <c r="L70" s="23">
        <f t="shared" si="2"/>
        <v>12</v>
      </c>
      <c r="M70" s="23">
        <f t="shared" si="3"/>
        <v>2025</v>
      </c>
      <c r="N70" s="23">
        <f t="shared" si="4"/>
        <v>49</v>
      </c>
      <c r="O70" s="12" t="str">
        <f t="shared" si="5"/>
        <v>12-2025</v>
      </c>
    </row>
    <row r="71" ht="15.75" customHeight="1">
      <c r="A71" s="25">
        <v>45996.0</v>
      </c>
      <c r="B71" s="19" t="s">
        <v>175</v>
      </c>
      <c r="C71" s="21" t="s">
        <v>37</v>
      </c>
      <c r="D71" s="21" t="s">
        <v>37</v>
      </c>
      <c r="E71" s="21" t="s">
        <v>176</v>
      </c>
      <c r="F71" s="22">
        <v>1.0</v>
      </c>
      <c r="G71" s="26">
        <v>35000.0</v>
      </c>
      <c r="H71" s="23">
        <f t="shared" si="1"/>
        <v>35000</v>
      </c>
      <c r="I71" s="24" t="s">
        <v>27</v>
      </c>
      <c r="J71" s="24" t="s">
        <v>20</v>
      </c>
      <c r="K71" s="14"/>
      <c r="L71" s="23">
        <f t="shared" si="2"/>
        <v>12</v>
      </c>
      <c r="M71" s="23">
        <f t="shared" si="3"/>
        <v>2025</v>
      </c>
      <c r="N71" s="23">
        <f t="shared" si="4"/>
        <v>49</v>
      </c>
      <c r="O71" s="12" t="str">
        <f t="shared" si="5"/>
        <v>12-2025</v>
      </c>
    </row>
    <row r="72" ht="15.75" customHeight="1">
      <c r="A72" s="25">
        <v>45996.0</v>
      </c>
      <c r="B72" s="20" t="s">
        <v>177</v>
      </c>
      <c r="C72" s="21" t="s">
        <v>30</v>
      </c>
      <c r="D72" s="21" t="s">
        <v>30</v>
      </c>
      <c r="E72" s="21" t="s">
        <v>178</v>
      </c>
      <c r="F72" s="22">
        <v>1.0</v>
      </c>
      <c r="G72" s="26">
        <v>70000.0</v>
      </c>
      <c r="H72" s="23">
        <f t="shared" si="1"/>
        <v>70000</v>
      </c>
      <c r="I72" s="24" t="s">
        <v>19</v>
      </c>
      <c r="J72" s="24" t="s">
        <v>20</v>
      </c>
      <c r="K72" s="14"/>
      <c r="L72" s="23">
        <f t="shared" si="2"/>
        <v>12</v>
      </c>
      <c r="M72" s="23">
        <f t="shared" si="3"/>
        <v>2025</v>
      </c>
      <c r="N72" s="23">
        <f t="shared" si="4"/>
        <v>49</v>
      </c>
      <c r="O72" s="12" t="str">
        <f t="shared" si="5"/>
        <v>12-2025</v>
      </c>
    </row>
    <row r="73" ht="15.75" customHeight="1">
      <c r="A73" s="25">
        <v>45997.0</v>
      </c>
      <c r="B73" s="7" t="s">
        <v>179</v>
      </c>
      <c r="C73" s="21" t="s">
        <v>16</v>
      </c>
      <c r="D73" s="21" t="s">
        <v>98</v>
      </c>
      <c r="E73" s="21" t="s">
        <v>63</v>
      </c>
      <c r="F73" s="22">
        <v>1.0</v>
      </c>
      <c r="G73" s="26">
        <v>30000.0</v>
      </c>
      <c r="H73" s="23">
        <f t="shared" si="1"/>
        <v>30000</v>
      </c>
      <c r="I73" s="24" t="s">
        <v>27</v>
      </c>
      <c r="J73" s="24" t="s">
        <v>20</v>
      </c>
      <c r="K73" s="14"/>
      <c r="L73" s="23">
        <f t="shared" si="2"/>
        <v>12</v>
      </c>
      <c r="M73" s="23">
        <f t="shared" si="3"/>
        <v>2025</v>
      </c>
      <c r="N73" s="23">
        <f t="shared" si="4"/>
        <v>49</v>
      </c>
      <c r="O73" s="12" t="str">
        <f t="shared" si="5"/>
        <v>12-2025</v>
      </c>
    </row>
    <row r="74" ht="15.75" customHeight="1">
      <c r="A74" s="25">
        <v>45997.0</v>
      </c>
      <c r="B74" s="19" t="s">
        <v>180</v>
      </c>
      <c r="C74" s="21" t="s">
        <v>37</v>
      </c>
      <c r="D74" s="21" t="s">
        <v>37</v>
      </c>
      <c r="E74" s="21" t="s">
        <v>176</v>
      </c>
      <c r="F74" s="22">
        <v>1.0</v>
      </c>
      <c r="G74" s="26">
        <v>30000.0</v>
      </c>
      <c r="H74" s="23">
        <f t="shared" si="1"/>
        <v>30000</v>
      </c>
      <c r="I74" s="24" t="s">
        <v>27</v>
      </c>
      <c r="J74" s="24" t="s">
        <v>20</v>
      </c>
      <c r="K74" s="14"/>
      <c r="L74" s="23">
        <f t="shared" si="2"/>
        <v>12</v>
      </c>
      <c r="M74" s="23">
        <f t="shared" si="3"/>
        <v>2025</v>
      </c>
      <c r="N74" s="23">
        <f t="shared" si="4"/>
        <v>49</v>
      </c>
      <c r="O74" s="12" t="str">
        <f t="shared" si="5"/>
        <v>12-2025</v>
      </c>
    </row>
    <row r="75" ht="15.75" customHeight="1">
      <c r="A75" s="25">
        <v>46000.0</v>
      </c>
      <c r="B75" s="7" t="s">
        <v>181</v>
      </c>
      <c r="C75" s="21" t="s">
        <v>24</v>
      </c>
      <c r="D75" s="21" t="s">
        <v>24</v>
      </c>
      <c r="E75" s="21" t="s">
        <v>141</v>
      </c>
      <c r="F75" s="22">
        <v>1.0</v>
      </c>
      <c r="G75" s="26">
        <v>54000.0</v>
      </c>
      <c r="H75" s="23">
        <f t="shared" si="1"/>
        <v>54000</v>
      </c>
      <c r="I75" s="24" t="s">
        <v>27</v>
      </c>
      <c r="J75" s="24" t="s">
        <v>20</v>
      </c>
      <c r="K75" s="14"/>
      <c r="L75" s="23">
        <f t="shared" si="2"/>
        <v>12</v>
      </c>
      <c r="M75" s="23">
        <f t="shared" si="3"/>
        <v>2025</v>
      </c>
      <c r="N75" s="23">
        <f t="shared" si="4"/>
        <v>50</v>
      </c>
      <c r="O75" s="12" t="str">
        <f t="shared" si="5"/>
        <v>12-2025</v>
      </c>
    </row>
    <row r="76" ht="15.75" customHeight="1">
      <c r="A76" s="25">
        <v>46002.0</v>
      </c>
      <c r="B76" s="19" t="s">
        <v>182</v>
      </c>
      <c r="C76" s="21" t="s">
        <v>123</v>
      </c>
      <c r="D76" s="21" t="s">
        <v>183</v>
      </c>
      <c r="E76" s="21" t="s">
        <v>151</v>
      </c>
      <c r="F76" s="22">
        <v>1.0</v>
      </c>
      <c r="G76" s="26">
        <v>45000.0</v>
      </c>
      <c r="H76" s="23">
        <f t="shared" si="1"/>
        <v>45000</v>
      </c>
      <c r="I76" s="24" t="s">
        <v>27</v>
      </c>
      <c r="J76" s="24" t="s">
        <v>20</v>
      </c>
      <c r="K76" s="14"/>
      <c r="L76" s="23">
        <f t="shared" si="2"/>
        <v>12</v>
      </c>
      <c r="M76" s="23">
        <f t="shared" si="3"/>
        <v>2025</v>
      </c>
      <c r="N76" s="23">
        <f t="shared" si="4"/>
        <v>50</v>
      </c>
      <c r="O76" s="12" t="str">
        <f t="shared" si="5"/>
        <v>12-2025</v>
      </c>
    </row>
    <row r="77" ht="15.75" customHeight="1">
      <c r="A77" s="25">
        <v>46004.0</v>
      </c>
      <c r="B77" s="7" t="s">
        <v>184</v>
      </c>
      <c r="C77" s="21" t="s">
        <v>37</v>
      </c>
      <c r="D77" s="21" t="s">
        <v>164</v>
      </c>
      <c r="E77" s="21" t="s">
        <v>178</v>
      </c>
      <c r="F77" s="22">
        <v>1.0</v>
      </c>
      <c r="G77" s="26">
        <v>60000.0</v>
      </c>
      <c r="H77" s="23">
        <f t="shared" si="1"/>
        <v>60000</v>
      </c>
      <c r="I77" s="24" t="s">
        <v>27</v>
      </c>
      <c r="J77" s="24" t="s">
        <v>20</v>
      </c>
      <c r="K77" s="14"/>
      <c r="L77" s="23">
        <f t="shared" si="2"/>
        <v>12</v>
      </c>
      <c r="M77" s="23">
        <f t="shared" si="3"/>
        <v>2025</v>
      </c>
      <c r="N77" s="23">
        <f t="shared" si="4"/>
        <v>50</v>
      </c>
      <c r="O77" s="12" t="str">
        <f t="shared" si="5"/>
        <v>12-2025</v>
      </c>
    </row>
    <row r="78" ht="15.75" customHeight="1">
      <c r="A78" s="25">
        <v>46006.0</v>
      </c>
      <c r="B78" s="19" t="s">
        <v>185</v>
      </c>
      <c r="C78" s="21" t="s">
        <v>37</v>
      </c>
      <c r="D78" s="21" t="s">
        <v>37</v>
      </c>
      <c r="E78" s="21" t="s">
        <v>186</v>
      </c>
      <c r="F78" s="22">
        <v>1.0</v>
      </c>
      <c r="G78" s="26">
        <v>20000.0</v>
      </c>
      <c r="H78" s="23">
        <f t="shared" si="1"/>
        <v>20000</v>
      </c>
      <c r="I78" s="24" t="s">
        <v>27</v>
      </c>
      <c r="J78" s="24" t="s">
        <v>20</v>
      </c>
      <c r="K78" s="14"/>
      <c r="L78" s="23">
        <f t="shared" si="2"/>
        <v>12</v>
      </c>
      <c r="M78" s="23">
        <f t="shared" si="3"/>
        <v>2025</v>
      </c>
      <c r="N78" s="23">
        <f t="shared" si="4"/>
        <v>51</v>
      </c>
      <c r="O78" s="12" t="str">
        <f t="shared" si="5"/>
        <v>12-2025</v>
      </c>
    </row>
    <row r="79" ht="15.75" customHeight="1">
      <c r="A79" s="25">
        <v>46007.0</v>
      </c>
      <c r="B79" s="7" t="s">
        <v>187</v>
      </c>
      <c r="C79" s="21" t="s">
        <v>37</v>
      </c>
      <c r="D79" s="21" t="s">
        <v>37</v>
      </c>
      <c r="E79" s="21" t="s">
        <v>109</v>
      </c>
      <c r="F79" s="22">
        <v>1.0</v>
      </c>
      <c r="G79" s="26">
        <v>55000.0</v>
      </c>
      <c r="H79" s="23">
        <f t="shared" si="1"/>
        <v>55000</v>
      </c>
      <c r="I79" s="24" t="s">
        <v>27</v>
      </c>
      <c r="J79" s="24" t="s">
        <v>20</v>
      </c>
      <c r="K79" s="14"/>
      <c r="L79" s="23">
        <f t="shared" si="2"/>
        <v>12</v>
      </c>
      <c r="M79" s="23">
        <f t="shared" si="3"/>
        <v>2025</v>
      </c>
      <c r="N79" s="23">
        <f t="shared" si="4"/>
        <v>51</v>
      </c>
      <c r="O79" s="12" t="str">
        <f t="shared" si="5"/>
        <v>12-2025</v>
      </c>
    </row>
    <row r="80" ht="15.75" customHeight="1">
      <c r="A80" s="25">
        <v>46007.0</v>
      </c>
      <c r="B80" s="19" t="s">
        <v>188</v>
      </c>
      <c r="C80" s="21" t="s">
        <v>37</v>
      </c>
      <c r="D80" s="21" t="s">
        <v>37</v>
      </c>
      <c r="E80" s="21" t="s">
        <v>172</v>
      </c>
      <c r="F80" s="22">
        <v>1.0</v>
      </c>
      <c r="G80" s="26">
        <v>35000.0</v>
      </c>
      <c r="H80" s="23">
        <f t="shared" si="1"/>
        <v>35000</v>
      </c>
      <c r="I80" s="24" t="s">
        <v>27</v>
      </c>
      <c r="J80" s="24" t="s">
        <v>20</v>
      </c>
      <c r="K80" s="14"/>
      <c r="L80" s="23">
        <f t="shared" si="2"/>
        <v>12</v>
      </c>
      <c r="M80" s="23">
        <f t="shared" si="3"/>
        <v>2025</v>
      </c>
      <c r="N80" s="23">
        <f t="shared" si="4"/>
        <v>51</v>
      </c>
      <c r="O80" s="12" t="str">
        <f t="shared" si="5"/>
        <v>12-2025</v>
      </c>
    </row>
    <row r="81" ht="15.75" customHeight="1">
      <c r="A81" s="25">
        <v>46009.0</v>
      </c>
      <c r="B81" s="19" t="s">
        <v>189</v>
      </c>
      <c r="C81" s="21" t="s">
        <v>24</v>
      </c>
      <c r="D81" s="21" t="s">
        <v>24</v>
      </c>
      <c r="E81" s="21" t="s">
        <v>190</v>
      </c>
      <c r="F81" s="22">
        <v>2.0</v>
      </c>
      <c r="G81" s="26">
        <v>30000.0</v>
      </c>
      <c r="H81" s="23">
        <f t="shared" si="1"/>
        <v>60000</v>
      </c>
      <c r="I81" s="24" t="s">
        <v>27</v>
      </c>
      <c r="J81" s="24" t="s">
        <v>20</v>
      </c>
      <c r="K81" s="14"/>
      <c r="L81" s="23">
        <f t="shared" si="2"/>
        <v>12</v>
      </c>
      <c r="M81" s="23">
        <f t="shared" si="3"/>
        <v>2025</v>
      </c>
      <c r="N81" s="23">
        <f t="shared" si="4"/>
        <v>51</v>
      </c>
      <c r="O81" s="12" t="str">
        <f t="shared" si="5"/>
        <v>12-2025</v>
      </c>
    </row>
    <row r="82" ht="15.75" customHeight="1">
      <c r="A82" s="25">
        <v>46010.0</v>
      </c>
      <c r="B82" s="19" t="s">
        <v>191</v>
      </c>
      <c r="C82" s="21" t="s">
        <v>30</v>
      </c>
      <c r="D82" s="21" t="s">
        <v>30</v>
      </c>
      <c r="E82" s="21" t="s">
        <v>192</v>
      </c>
      <c r="F82" s="22">
        <v>1.0</v>
      </c>
      <c r="G82" s="26">
        <v>35000.0</v>
      </c>
      <c r="H82" s="23">
        <f t="shared" si="1"/>
        <v>35000</v>
      </c>
      <c r="I82" s="24" t="s">
        <v>27</v>
      </c>
      <c r="J82" s="24" t="s">
        <v>20</v>
      </c>
      <c r="K82" s="14"/>
      <c r="L82" s="23">
        <f t="shared" si="2"/>
        <v>12</v>
      </c>
      <c r="M82" s="23">
        <f t="shared" si="3"/>
        <v>2025</v>
      </c>
      <c r="N82" s="23">
        <f t="shared" si="4"/>
        <v>51</v>
      </c>
      <c r="O82" s="12" t="str">
        <f t="shared" si="5"/>
        <v>12-2025</v>
      </c>
    </row>
    <row r="83" ht="15.75" customHeight="1">
      <c r="A83" s="25">
        <v>46011.0</v>
      </c>
      <c r="B83" s="20" t="s">
        <v>193</v>
      </c>
      <c r="C83" s="21" t="s">
        <v>37</v>
      </c>
      <c r="D83" s="21" t="s">
        <v>37</v>
      </c>
      <c r="E83" s="21" t="s">
        <v>194</v>
      </c>
      <c r="F83" s="22">
        <v>1.0</v>
      </c>
      <c r="G83" s="26">
        <v>20000.0</v>
      </c>
      <c r="H83" s="23">
        <f t="shared" si="1"/>
        <v>20000</v>
      </c>
      <c r="I83" s="24" t="s">
        <v>27</v>
      </c>
      <c r="J83" s="24" t="s">
        <v>20</v>
      </c>
      <c r="K83" s="14"/>
      <c r="L83" s="23">
        <f t="shared" si="2"/>
        <v>12</v>
      </c>
      <c r="M83" s="23">
        <f t="shared" si="3"/>
        <v>2025</v>
      </c>
      <c r="N83" s="23">
        <f t="shared" si="4"/>
        <v>51</v>
      </c>
      <c r="O83" s="12" t="str">
        <f t="shared" si="5"/>
        <v>12-2025</v>
      </c>
    </row>
    <row r="84" ht="15.75" customHeight="1">
      <c r="A84" s="25">
        <v>46014.0</v>
      </c>
      <c r="B84" s="7" t="s">
        <v>195</v>
      </c>
      <c r="C84" s="21" t="s">
        <v>24</v>
      </c>
      <c r="D84" s="21" t="s">
        <v>24</v>
      </c>
      <c r="E84" s="21" t="s">
        <v>125</v>
      </c>
      <c r="F84" s="22">
        <v>1.0</v>
      </c>
      <c r="G84" s="26">
        <v>45000.0</v>
      </c>
      <c r="H84" s="23">
        <f t="shared" si="1"/>
        <v>45000</v>
      </c>
      <c r="I84" s="24" t="s">
        <v>27</v>
      </c>
      <c r="J84" s="24" t="s">
        <v>20</v>
      </c>
      <c r="K84" s="14"/>
      <c r="L84" s="23">
        <f t="shared" si="2"/>
        <v>12</v>
      </c>
      <c r="M84" s="23">
        <f t="shared" si="3"/>
        <v>2025</v>
      </c>
      <c r="N84" s="23">
        <f t="shared" si="4"/>
        <v>52</v>
      </c>
      <c r="O84" s="12" t="str">
        <f t="shared" si="5"/>
        <v>12-2025</v>
      </c>
    </row>
    <row r="85" ht="15.75" customHeight="1">
      <c r="A85" s="25">
        <v>46015.0</v>
      </c>
      <c r="B85" s="19" t="s">
        <v>196</v>
      </c>
      <c r="C85" s="21" t="s">
        <v>24</v>
      </c>
      <c r="D85" s="21" t="s">
        <v>24</v>
      </c>
      <c r="E85" s="21" t="s">
        <v>125</v>
      </c>
      <c r="F85" s="22">
        <v>1.0</v>
      </c>
      <c r="G85" s="26">
        <v>45000.0</v>
      </c>
      <c r="H85" s="23">
        <f t="shared" si="1"/>
        <v>45000</v>
      </c>
      <c r="I85" s="24" t="s">
        <v>27</v>
      </c>
      <c r="J85" s="24" t="s">
        <v>20</v>
      </c>
      <c r="K85" s="14"/>
      <c r="L85" s="23">
        <f t="shared" si="2"/>
        <v>12</v>
      </c>
      <c r="M85" s="23">
        <f t="shared" si="3"/>
        <v>2025</v>
      </c>
      <c r="N85" s="23">
        <f t="shared" si="4"/>
        <v>52</v>
      </c>
      <c r="O85" s="12" t="str">
        <f t="shared" si="5"/>
        <v>12-2025</v>
      </c>
    </row>
    <row r="86" ht="15.75" customHeight="1">
      <c r="A86" s="25">
        <v>46020.0</v>
      </c>
      <c r="B86" s="20" t="s">
        <v>197</v>
      </c>
      <c r="C86" s="21" t="s">
        <v>37</v>
      </c>
      <c r="D86" s="21" t="s">
        <v>198</v>
      </c>
      <c r="E86" s="21" t="s">
        <v>56</v>
      </c>
      <c r="F86" s="22">
        <v>1.0</v>
      </c>
      <c r="G86" s="26">
        <v>30000.0</v>
      </c>
      <c r="H86" s="23">
        <f t="shared" si="1"/>
        <v>30000</v>
      </c>
      <c r="I86" s="24" t="s">
        <v>27</v>
      </c>
      <c r="J86" s="24" t="s">
        <v>20</v>
      </c>
      <c r="K86" s="14"/>
      <c r="L86" s="23">
        <f t="shared" si="2"/>
        <v>12</v>
      </c>
      <c r="M86" s="23">
        <f t="shared" si="3"/>
        <v>2025</v>
      </c>
      <c r="N86" s="23">
        <f t="shared" si="4"/>
        <v>53</v>
      </c>
      <c r="O86" s="12" t="str">
        <f t="shared" si="5"/>
        <v>12-2025</v>
      </c>
    </row>
    <row r="87" ht="15.75" customHeight="1">
      <c r="A87" s="25">
        <v>46021.0</v>
      </c>
      <c r="B87" s="20" t="s">
        <v>199</v>
      </c>
      <c r="C87" s="21" t="s">
        <v>30</v>
      </c>
      <c r="D87" s="21" t="s">
        <v>30</v>
      </c>
      <c r="E87" s="21" t="s">
        <v>200</v>
      </c>
      <c r="F87" s="22">
        <v>2.0</v>
      </c>
      <c r="G87" s="26">
        <v>35000.0</v>
      </c>
      <c r="H87" s="23">
        <f t="shared" si="1"/>
        <v>70000</v>
      </c>
      <c r="I87" s="24" t="s">
        <v>27</v>
      </c>
      <c r="J87" s="24" t="s">
        <v>20</v>
      </c>
      <c r="K87" s="14"/>
      <c r="L87" s="23">
        <f t="shared" si="2"/>
        <v>12</v>
      </c>
      <c r="M87" s="23">
        <f t="shared" si="3"/>
        <v>2025</v>
      </c>
      <c r="N87" s="23">
        <f t="shared" si="4"/>
        <v>53</v>
      </c>
      <c r="O87" s="12" t="str">
        <f t="shared" si="5"/>
        <v>12-2025</v>
      </c>
    </row>
    <row r="88" ht="15.75" customHeight="1">
      <c r="A88" s="25">
        <v>46021.0</v>
      </c>
      <c r="B88" s="20" t="s">
        <v>201</v>
      </c>
      <c r="C88" s="21" t="s">
        <v>24</v>
      </c>
      <c r="D88" s="21" t="s">
        <v>202</v>
      </c>
      <c r="E88" s="21" t="s">
        <v>203</v>
      </c>
      <c r="F88" s="22">
        <v>1.0</v>
      </c>
      <c r="G88" s="26">
        <v>30000.0</v>
      </c>
      <c r="H88" s="23">
        <f t="shared" si="1"/>
        <v>30000</v>
      </c>
      <c r="I88" s="24" t="s">
        <v>27</v>
      </c>
      <c r="J88" s="24" t="s">
        <v>20</v>
      </c>
      <c r="K88" s="14"/>
      <c r="L88" s="23">
        <f t="shared" si="2"/>
        <v>12</v>
      </c>
      <c r="M88" s="23">
        <f t="shared" si="3"/>
        <v>2025</v>
      </c>
      <c r="N88" s="23">
        <f t="shared" si="4"/>
        <v>53</v>
      </c>
      <c r="O88" s="12" t="str">
        <f t="shared" si="5"/>
        <v>12-2025</v>
      </c>
    </row>
    <row r="89" ht="15.75" customHeight="1">
      <c r="A89" s="25">
        <v>46021.0</v>
      </c>
      <c r="B89" s="20" t="s">
        <v>201</v>
      </c>
      <c r="C89" s="21" t="s">
        <v>24</v>
      </c>
      <c r="D89" s="21" t="s">
        <v>202</v>
      </c>
      <c r="E89" s="21" t="s">
        <v>204</v>
      </c>
      <c r="F89" s="22">
        <v>1.0</v>
      </c>
      <c r="G89" s="26">
        <v>20000.0</v>
      </c>
      <c r="H89" s="23">
        <f t="shared" si="1"/>
        <v>20000</v>
      </c>
      <c r="I89" s="24" t="s">
        <v>27</v>
      </c>
      <c r="J89" s="24" t="s">
        <v>20</v>
      </c>
      <c r="K89" s="14"/>
      <c r="L89" s="23">
        <f t="shared" si="2"/>
        <v>12</v>
      </c>
      <c r="M89" s="23">
        <f t="shared" si="3"/>
        <v>2025</v>
      </c>
      <c r="N89" s="23">
        <f t="shared" si="4"/>
        <v>53</v>
      </c>
      <c r="O89" s="12" t="str">
        <f t="shared" si="5"/>
        <v>12-2025</v>
      </c>
    </row>
    <row r="90" ht="15.75" customHeight="1">
      <c r="A90" s="25">
        <v>46022.0</v>
      </c>
      <c r="B90" s="19" t="s">
        <v>205</v>
      </c>
      <c r="C90" s="21" t="s">
        <v>24</v>
      </c>
      <c r="D90" s="21" t="s">
        <v>202</v>
      </c>
      <c r="E90" s="21" t="s">
        <v>206</v>
      </c>
      <c r="F90" s="22">
        <v>1.0</v>
      </c>
      <c r="G90" s="26">
        <v>160000.0</v>
      </c>
      <c r="H90" s="23">
        <f t="shared" si="1"/>
        <v>160000</v>
      </c>
      <c r="I90" s="24" t="s">
        <v>27</v>
      </c>
      <c r="J90" s="24" t="s">
        <v>20</v>
      </c>
      <c r="K90" s="14"/>
      <c r="L90" s="23">
        <f t="shared" si="2"/>
        <v>12</v>
      </c>
      <c r="M90" s="23">
        <f t="shared" si="3"/>
        <v>2025</v>
      </c>
      <c r="N90" s="23">
        <f t="shared" si="4"/>
        <v>53</v>
      </c>
      <c r="O90" s="12" t="str">
        <f t="shared" si="5"/>
        <v>12-2025</v>
      </c>
    </row>
    <row r="91" ht="15.75" customHeight="1">
      <c r="A91" s="25">
        <v>46027.0</v>
      </c>
      <c r="B91" s="20" t="s">
        <v>207</v>
      </c>
      <c r="C91" s="21" t="s">
        <v>37</v>
      </c>
      <c r="D91" s="21" t="s">
        <v>154</v>
      </c>
      <c r="E91" s="21" t="s">
        <v>56</v>
      </c>
      <c r="F91" s="22">
        <v>1.0</v>
      </c>
      <c r="G91" s="26">
        <v>30000.0</v>
      </c>
      <c r="H91" s="23">
        <f t="shared" si="1"/>
        <v>30000</v>
      </c>
      <c r="I91" s="24" t="s">
        <v>27</v>
      </c>
      <c r="J91" s="24" t="s">
        <v>20</v>
      </c>
      <c r="K91" s="24" t="s">
        <v>28</v>
      </c>
      <c r="L91" s="23">
        <f t="shared" si="2"/>
        <v>1</v>
      </c>
      <c r="M91" s="23">
        <f t="shared" si="3"/>
        <v>2026</v>
      </c>
      <c r="N91" s="23">
        <f t="shared" si="4"/>
        <v>2</v>
      </c>
      <c r="O91" s="12" t="str">
        <f t="shared" si="5"/>
        <v>1-2026</v>
      </c>
    </row>
    <row r="92" ht="15.75" customHeight="1">
      <c r="A92" s="25">
        <v>46027.0</v>
      </c>
      <c r="B92" s="20" t="s">
        <v>208</v>
      </c>
      <c r="C92" s="21" t="s">
        <v>209</v>
      </c>
      <c r="D92" s="21" t="s">
        <v>209</v>
      </c>
      <c r="E92" s="21" t="s">
        <v>56</v>
      </c>
      <c r="F92" s="22">
        <v>1.0</v>
      </c>
      <c r="G92" s="26">
        <v>35000.0</v>
      </c>
      <c r="H92" s="23">
        <f t="shared" si="1"/>
        <v>35000</v>
      </c>
      <c r="I92" s="24" t="s">
        <v>27</v>
      </c>
      <c r="J92" s="24" t="s">
        <v>20</v>
      </c>
      <c r="K92" s="24" t="s">
        <v>28</v>
      </c>
      <c r="L92" s="23">
        <f t="shared" si="2"/>
        <v>1</v>
      </c>
      <c r="M92" s="23">
        <f t="shared" si="3"/>
        <v>2026</v>
      </c>
      <c r="N92" s="23">
        <f t="shared" si="4"/>
        <v>2</v>
      </c>
      <c r="O92" s="12" t="str">
        <f t="shared" si="5"/>
        <v>1-2026</v>
      </c>
    </row>
    <row r="93" ht="15.75" customHeight="1">
      <c r="A93" s="25">
        <v>46028.0</v>
      </c>
      <c r="B93" s="20" t="s">
        <v>210</v>
      </c>
      <c r="C93" s="21" t="s">
        <v>37</v>
      </c>
      <c r="D93" s="21" t="s">
        <v>37</v>
      </c>
      <c r="E93" s="21" t="s">
        <v>211</v>
      </c>
      <c r="F93" s="22">
        <v>1.0</v>
      </c>
      <c r="G93" s="26">
        <v>75000.0</v>
      </c>
      <c r="H93" s="23">
        <f t="shared" si="1"/>
        <v>75000</v>
      </c>
      <c r="I93" s="24" t="s">
        <v>27</v>
      </c>
      <c r="J93" s="24" t="s">
        <v>20</v>
      </c>
      <c r="K93" s="24" t="s">
        <v>28</v>
      </c>
      <c r="L93" s="23">
        <f t="shared" si="2"/>
        <v>1</v>
      </c>
      <c r="M93" s="23">
        <f t="shared" si="3"/>
        <v>2026</v>
      </c>
      <c r="N93" s="23">
        <f t="shared" si="4"/>
        <v>2</v>
      </c>
      <c r="O93" s="12" t="str">
        <f t="shared" si="5"/>
        <v>1-2026</v>
      </c>
    </row>
    <row r="94" ht="15.75" customHeight="1">
      <c r="A94" s="25">
        <v>46029.0</v>
      </c>
      <c r="B94" s="20" t="s">
        <v>212</v>
      </c>
      <c r="C94" s="21" t="s">
        <v>24</v>
      </c>
      <c r="D94" s="21" t="s">
        <v>24</v>
      </c>
      <c r="E94" s="21" t="s">
        <v>56</v>
      </c>
      <c r="F94" s="22">
        <v>1.0</v>
      </c>
      <c r="G94" s="26">
        <v>30000.0</v>
      </c>
      <c r="H94" s="23">
        <f t="shared" si="1"/>
        <v>30000</v>
      </c>
      <c r="I94" s="24" t="s">
        <v>27</v>
      </c>
      <c r="J94" s="24" t="s">
        <v>20</v>
      </c>
      <c r="K94" s="24" t="s">
        <v>28</v>
      </c>
      <c r="L94" s="23">
        <f t="shared" si="2"/>
        <v>1</v>
      </c>
      <c r="M94" s="23">
        <f t="shared" si="3"/>
        <v>2026</v>
      </c>
      <c r="N94" s="23">
        <f t="shared" si="4"/>
        <v>2</v>
      </c>
      <c r="O94" s="12" t="str">
        <f t="shared" si="5"/>
        <v>1-2026</v>
      </c>
    </row>
    <row r="95" ht="15.75" customHeight="1">
      <c r="A95" s="25">
        <v>46030.0</v>
      </c>
      <c r="B95" s="20" t="s">
        <v>213</v>
      </c>
      <c r="C95" s="21" t="s">
        <v>30</v>
      </c>
      <c r="D95" s="21" t="s">
        <v>30</v>
      </c>
      <c r="E95" s="21" t="s">
        <v>101</v>
      </c>
      <c r="F95" s="22">
        <v>6.0</v>
      </c>
      <c r="G95" s="26">
        <v>6000.0</v>
      </c>
      <c r="H95" s="23">
        <f t="shared" si="1"/>
        <v>36000</v>
      </c>
      <c r="I95" s="24" t="s">
        <v>27</v>
      </c>
      <c r="J95" s="24" t="s">
        <v>20</v>
      </c>
      <c r="K95" s="24" t="s">
        <v>28</v>
      </c>
      <c r="L95" s="23">
        <f t="shared" si="2"/>
        <v>1</v>
      </c>
      <c r="M95" s="23">
        <f t="shared" si="3"/>
        <v>2026</v>
      </c>
      <c r="N95" s="23">
        <f t="shared" si="4"/>
        <v>2</v>
      </c>
      <c r="O95" s="12" t="str">
        <f t="shared" si="5"/>
        <v>1-2026</v>
      </c>
    </row>
    <row r="96" ht="15.75" customHeight="1">
      <c r="A96" s="25">
        <v>46031.0</v>
      </c>
      <c r="B96" s="27" t="s">
        <v>214</v>
      </c>
      <c r="C96" s="21" t="s">
        <v>37</v>
      </c>
      <c r="D96" s="21" t="s">
        <v>37</v>
      </c>
      <c r="E96" s="21" t="s">
        <v>215</v>
      </c>
      <c r="F96" s="22">
        <v>1.0</v>
      </c>
      <c r="G96" s="26">
        <v>45000.0</v>
      </c>
      <c r="H96" s="23">
        <f t="shared" si="1"/>
        <v>45000</v>
      </c>
      <c r="I96" s="24" t="s">
        <v>27</v>
      </c>
      <c r="J96" s="24" t="s">
        <v>20</v>
      </c>
      <c r="K96" s="24" t="s">
        <v>28</v>
      </c>
      <c r="L96" s="23">
        <f t="shared" si="2"/>
        <v>1</v>
      </c>
      <c r="M96" s="23">
        <f t="shared" si="3"/>
        <v>2026</v>
      </c>
      <c r="N96" s="23">
        <f t="shared" si="4"/>
        <v>2</v>
      </c>
      <c r="O96" s="12" t="str">
        <f t="shared" si="5"/>
        <v>1-2026</v>
      </c>
    </row>
    <row r="97" ht="15.75" customHeight="1">
      <c r="A97" s="25">
        <v>46032.0</v>
      </c>
      <c r="B97" s="28" t="s">
        <v>216</v>
      </c>
      <c r="C97" s="21" t="s">
        <v>30</v>
      </c>
      <c r="D97" s="21" t="s">
        <v>30</v>
      </c>
      <c r="E97" s="21" t="s">
        <v>217</v>
      </c>
      <c r="F97" s="22">
        <v>1.0</v>
      </c>
      <c r="G97" s="26">
        <v>136000.0</v>
      </c>
      <c r="H97" s="23">
        <f t="shared" si="1"/>
        <v>136000</v>
      </c>
      <c r="I97" s="24" t="s">
        <v>27</v>
      </c>
      <c r="J97" s="24" t="s">
        <v>20</v>
      </c>
      <c r="K97" s="24" t="s">
        <v>28</v>
      </c>
      <c r="L97" s="23">
        <f t="shared" si="2"/>
        <v>1</v>
      </c>
      <c r="M97" s="23">
        <f t="shared" si="3"/>
        <v>2026</v>
      </c>
      <c r="N97" s="23">
        <f t="shared" si="4"/>
        <v>2</v>
      </c>
      <c r="O97" s="12" t="str">
        <f t="shared" si="5"/>
        <v>1-2026</v>
      </c>
    </row>
    <row r="98" ht="15.75" customHeight="1">
      <c r="A98" s="25">
        <v>46036.0</v>
      </c>
      <c r="B98" s="28" t="s">
        <v>218</v>
      </c>
      <c r="C98" s="21" t="s">
        <v>123</v>
      </c>
      <c r="D98" s="21" t="s">
        <v>123</v>
      </c>
      <c r="E98" s="21" t="s">
        <v>215</v>
      </c>
      <c r="F98" s="22">
        <v>1.0</v>
      </c>
      <c r="G98" s="26">
        <v>45000.0</v>
      </c>
      <c r="H98" s="23">
        <f t="shared" si="1"/>
        <v>45000</v>
      </c>
      <c r="I98" s="24" t="s">
        <v>27</v>
      </c>
      <c r="J98" s="24" t="s">
        <v>20</v>
      </c>
      <c r="K98" s="24" t="s">
        <v>28</v>
      </c>
      <c r="L98" s="23">
        <f t="shared" si="2"/>
        <v>1</v>
      </c>
      <c r="M98" s="23">
        <f t="shared" si="3"/>
        <v>2026</v>
      </c>
      <c r="N98" s="23">
        <f t="shared" si="4"/>
        <v>3</v>
      </c>
      <c r="O98" s="12" t="str">
        <f t="shared" si="5"/>
        <v>1-2026</v>
      </c>
    </row>
    <row r="99" ht="15.75" customHeight="1">
      <c r="A99" s="25">
        <v>46037.0</v>
      </c>
      <c r="B99" s="28" t="s">
        <v>219</v>
      </c>
      <c r="C99" s="21" t="s">
        <v>123</v>
      </c>
      <c r="D99" s="21" t="s">
        <v>123</v>
      </c>
      <c r="E99" s="21" t="s">
        <v>160</v>
      </c>
      <c r="F99" s="22">
        <v>1.0</v>
      </c>
      <c r="G99" s="26">
        <v>35000.0</v>
      </c>
      <c r="H99" s="23">
        <f t="shared" si="1"/>
        <v>35000</v>
      </c>
      <c r="I99" s="24" t="s">
        <v>19</v>
      </c>
      <c r="J99" s="24" t="s">
        <v>20</v>
      </c>
      <c r="K99" s="24" t="s">
        <v>28</v>
      </c>
      <c r="L99" s="23">
        <f t="shared" si="2"/>
        <v>1</v>
      </c>
      <c r="M99" s="23">
        <f t="shared" si="3"/>
        <v>2026</v>
      </c>
      <c r="N99" s="23">
        <f t="shared" si="4"/>
        <v>3</v>
      </c>
      <c r="O99" s="12" t="str">
        <f t="shared" si="5"/>
        <v>1-2026</v>
      </c>
    </row>
    <row r="100" ht="15.75" customHeight="1">
      <c r="A100" s="25">
        <v>46038.0</v>
      </c>
      <c r="B100" s="28" t="s">
        <v>220</v>
      </c>
      <c r="C100" s="21" t="s">
        <v>30</v>
      </c>
      <c r="D100" s="21" t="s">
        <v>30</v>
      </c>
      <c r="E100" s="21" t="s">
        <v>151</v>
      </c>
      <c r="F100" s="22">
        <v>1.0</v>
      </c>
      <c r="G100" s="26">
        <v>45000.0</v>
      </c>
      <c r="H100" s="23">
        <f t="shared" si="1"/>
        <v>45000</v>
      </c>
      <c r="I100" s="24" t="s">
        <v>27</v>
      </c>
      <c r="J100" s="24" t="s">
        <v>20</v>
      </c>
      <c r="K100" s="24" t="s">
        <v>28</v>
      </c>
      <c r="L100" s="23">
        <f t="shared" si="2"/>
        <v>1</v>
      </c>
      <c r="M100" s="23">
        <f t="shared" si="3"/>
        <v>2026</v>
      </c>
      <c r="N100" s="23">
        <f t="shared" si="4"/>
        <v>3</v>
      </c>
      <c r="O100" s="12" t="str">
        <f t="shared" si="5"/>
        <v>1-2026</v>
      </c>
    </row>
    <row r="101" ht="15.75" customHeight="1">
      <c r="A101" s="25">
        <v>46039.0</v>
      </c>
      <c r="B101" s="28" t="s">
        <v>221</v>
      </c>
      <c r="C101" s="21" t="s">
        <v>24</v>
      </c>
      <c r="D101" s="21" t="s">
        <v>222</v>
      </c>
      <c r="E101" s="21" t="s">
        <v>223</v>
      </c>
      <c r="F101" s="22">
        <v>1.0</v>
      </c>
      <c r="G101" s="26">
        <v>72000.0</v>
      </c>
      <c r="H101" s="23">
        <f t="shared" si="1"/>
        <v>72000</v>
      </c>
      <c r="I101" s="24" t="s">
        <v>27</v>
      </c>
      <c r="J101" s="24" t="s">
        <v>20</v>
      </c>
      <c r="K101" s="24" t="s">
        <v>28</v>
      </c>
      <c r="L101" s="23">
        <f t="shared" si="2"/>
        <v>1</v>
      </c>
      <c r="M101" s="23">
        <f t="shared" si="3"/>
        <v>2026</v>
      </c>
      <c r="N101" s="23">
        <f t="shared" si="4"/>
        <v>3</v>
      </c>
      <c r="O101" s="12" t="str">
        <f t="shared" si="5"/>
        <v>1-2026</v>
      </c>
    </row>
    <row r="102" ht="15.75" customHeight="1">
      <c r="A102" s="25">
        <v>46042.0</v>
      </c>
      <c r="B102" s="27" t="s">
        <v>224</v>
      </c>
      <c r="C102" s="21" t="s">
        <v>37</v>
      </c>
      <c r="D102" s="21" t="s">
        <v>37</v>
      </c>
      <c r="E102" s="21" t="s">
        <v>135</v>
      </c>
      <c r="F102" s="22">
        <v>1.0</v>
      </c>
      <c r="G102" s="26">
        <v>55000.0</v>
      </c>
      <c r="H102" s="23">
        <f t="shared" si="1"/>
        <v>55000</v>
      </c>
      <c r="I102" s="24" t="s">
        <v>27</v>
      </c>
      <c r="J102" s="24" t="s">
        <v>20</v>
      </c>
      <c r="K102" s="24" t="s">
        <v>28</v>
      </c>
      <c r="L102" s="23">
        <f t="shared" si="2"/>
        <v>1</v>
      </c>
      <c r="M102" s="23">
        <f t="shared" si="3"/>
        <v>2026</v>
      </c>
      <c r="N102" s="23">
        <f t="shared" si="4"/>
        <v>4</v>
      </c>
      <c r="O102" s="12" t="str">
        <f t="shared" si="5"/>
        <v>1-2026</v>
      </c>
    </row>
    <row r="103" ht="15.75" customHeight="1">
      <c r="A103" s="25">
        <v>46043.0</v>
      </c>
      <c r="B103" s="28" t="s">
        <v>225</v>
      </c>
      <c r="C103" s="21" t="s">
        <v>123</v>
      </c>
      <c r="D103" s="21" t="s">
        <v>226</v>
      </c>
      <c r="E103" s="21" t="s">
        <v>227</v>
      </c>
      <c r="F103" s="22">
        <v>1.0</v>
      </c>
      <c r="G103" s="26">
        <v>106400.0</v>
      </c>
      <c r="H103" s="23">
        <f t="shared" si="1"/>
        <v>106400</v>
      </c>
      <c r="I103" s="24" t="s">
        <v>27</v>
      </c>
      <c r="J103" s="24" t="s">
        <v>20</v>
      </c>
      <c r="K103" s="24" t="s">
        <v>32</v>
      </c>
      <c r="L103" s="23">
        <f t="shared" si="2"/>
        <v>1</v>
      </c>
      <c r="M103" s="23">
        <f t="shared" si="3"/>
        <v>2026</v>
      </c>
      <c r="N103" s="23">
        <f t="shared" si="4"/>
        <v>4</v>
      </c>
      <c r="O103" s="12" t="str">
        <f t="shared" si="5"/>
        <v>1-2026</v>
      </c>
    </row>
    <row r="104" ht="15.75" customHeight="1">
      <c r="A104" s="25">
        <v>46043.0</v>
      </c>
      <c r="B104" s="28" t="s">
        <v>228</v>
      </c>
      <c r="C104" s="21" t="s">
        <v>37</v>
      </c>
      <c r="D104" s="21" t="s">
        <v>37</v>
      </c>
      <c r="E104" s="21" t="s">
        <v>160</v>
      </c>
      <c r="F104" s="22">
        <v>1.0</v>
      </c>
      <c r="G104" s="26">
        <v>35000.0</v>
      </c>
      <c r="H104" s="23">
        <f t="shared" si="1"/>
        <v>35000</v>
      </c>
      <c r="I104" s="24" t="s">
        <v>27</v>
      </c>
      <c r="J104" s="24" t="s">
        <v>20</v>
      </c>
      <c r="K104" s="24" t="s">
        <v>28</v>
      </c>
      <c r="L104" s="23">
        <f t="shared" si="2"/>
        <v>1</v>
      </c>
      <c r="M104" s="23">
        <f t="shared" si="3"/>
        <v>2026</v>
      </c>
      <c r="N104" s="23">
        <f t="shared" si="4"/>
        <v>4</v>
      </c>
      <c r="O104" s="12" t="str">
        <f t="shared" si="5"/>
        <v>1-2026</v>
      </c>
    </row>
    <row r="105" ht="15.75" customHeight="1">
      <c r="A105" s="25">
        <v>46045.0</v>
      </c>
      <c r="B105" s="28" t="s">
        <v>229</v>
      </c>
      <c r="C105" s="21" t="s">
        <v>16</v>
      </c>
      <c r="D105" s="21" t="s">
        <v>230</v>
      </c>
      <c r="E105" s="21" t="s">
        <v>231</v>
      </c>
      <c r="F105" s="22">
        <v>1.0</v>
      </c>
      <c r="G105" s="26">
        <v>45000.0</v>
      </c>
      <c r="H105" s="23">
        <f t="shared" si="1"/>
        <v>45000</v>
      </c>
      <c r="I105" s="24" t="s">
        <v>27</v>
      </c>
      <c r="J105" s="24" t="s">
        <v>20</v>
      </c>
      <c r="K105" s="24" t="s">
        <v>28</v>
      </c>
      <c r="L105" s="23">
        <f t="shared" si="2"/>
        <v>1</v>
      </c>
      <c r="M105" s="23">
        <f t="shared" si="3"/>
        <v>2026</v>
      </c>
      <c r="N105" s="23">
        <f t="shared" si="4"/>
        <v>4</v>
      </c>
      <c r="O105" s="12" t="str">
        <f t="shared" si="5"/>
        <v>1-2026</v>
      </c>
    </row>
    <row r="106" ht="15.75" customHeight="1">
      <c r="A106" s="25">
        <v>46052.0</v>
      </c>
      <c r="B106" s="28" t="s">
        <v>232</v>
      </c>
      <c r="C106" s="21" t="s">
        <v>24</v>
      </c>
      <c r="D106" s="21" t="s">
        <v>24</v>
      </c>
      <c r="E106" s="21" t="s">
        <v>231</v>
      </c>
      <c r="F106" s="22">
        <v>1.0</v>
      </c>
      <c r="G106" s="26">
        <v>45000.0</v>
      </c>
      <c r="H106" s="23">
        <f t="shared" si="1"/>
        <v>45000</v>
      </c>
      <c r="I106" s="24" t="s">
        <v>27</v>
      </c>
      <c r="J106" s="24" t="s">
        <v>20</v>
      </c>
      <c r="K106" s="24" t="s">
        <v>28</v>
      </c>
      <c r="L106" s="23">
        <f t="shared" si="2"/>
        <v>1</v>
      </c>
      <c r="M106" s="23">
        <f t="shared" si="3"/>
        <v>2026</v>
      </c>
      <c r="N106" s="23">
        <f t="shared" si="4"/>
        <v>5</v>
      </c>
      <c r="O106" s="12" t="str">
        <f t="shared" si="5"/>
        <v>1-2026</v>
      </c>
    </row>
    <row r="107" ht="15.75" customHeight="1">
      <c r="A107" s="25">
        <v>46055.0</v>
      </c>
      <c r="B107" s="28" t="s">
        <v>233</v>
      </c>
      <c r="C107" s="21" t="s">
        <v>24</v>
      </c>
      <c r="D107" s="21" t="s">
        <v>234</v>
      </c>
      <c r="E107" s="21" t="s">
        <v>235</v>
      </c>
      <c r="F107" s="22">
        <v>1.0</v>
      </c>
      <c r="G107" s="26">
        <v>35000.0</v>
      </c>
      <c r="H107" s="23">
        <f t="shared" si="1"/>
        <v>35000</v>
      </c>
      <c r="I107" s="24" t="s">
        <v>27</v>
      </c>
      <c r="J107" s="24" t="s">
        <v>20</v>
      </c>
      <c r="K107" s="24" t="s">
        <v>28</v>
      </c>
      <c r="L107" s="23">
        <f t="shared" si="2"/>
        <v>2</v>
      </c>
      <c r="M107" s="23">
        <f t="shared" si="3"/>
        <v>2026</v>
      </c>
      <c r="N107" s="23">
        <f t="shared" si="4"/>
        <v>6</v>
      </c>
      <c r="O107" s="12" t="str">
        <f t="shared" si="5"/>
        <v>2-2026</v>
      </c>
    </row>
    <row r="108" ht="15.75" customHeight="1">
      <c r="A108" s="25">
        <v>46056.0</v>
      </c>
      <c r="B108" s="28" t="s">
        <v>236</v>
      </c>
      <c r="C108" s="21" t="s">
        <v>37</v>
      </c>
      <c r="D108" s="21" t="s">
        <v>37</v>
      </c>
      <c r="E108" s="21" t="s">
        <v>203</v>
      </c>
      <c r="F108" s="22">
        <v>1.0</v>
      </c>
      <c r="G108" s="26">
        <v>30000.0</v>
      </c>
      <c r="H108" s="23">
        <f t="shared" si="1"/>
        <v>30000</v>
      </c>
      <c r="I108" s="24" t="s">
        <v>27</v>
      </c>
      <c r="J108" s="24" t="s">
        <v>20</v>
      </c>
      <c r="K108" s="24" t="s">
        <v>28</v>
      </c>
      <c r="L108" s="23">
        <f t="shared" si="2"/>
        <v>2</v>
      </c>
      <c r="M108" s="23">
        <f t="shared" si="3"/>
        <v>2026</v>
      </c>
      <c r="N108" s="23">
        <f t="shared" si="4"/>
        <v>6</v>
      </c>
      <c r="O108" s="12" t="str">
        <f t="shared" si="5"/>
        <v>2-2026</v>
      </c>
    </row>
    <row r="109" ht="15.75" customHeight="1">
      <c r="A109" s="25">
        <v>46057.0</v>
      </c>
      <c r="B109" s="28" t="s">
        <v>237</v>
      </c>
      <c r="C109" s="21" t="s">
        <v>37</v>
      </c>
      <c r="D109" s="21" t="s">
        <v>37</v>
      </c>
      <c r="E109" s="21" t="s">
        <v>238</v>
      </c>
      <c r="F109" s="22">
        <v>1.0</v>
      </c>
      <c r="G109" s="26">
        <v>48000.0</v>
      </c>
      <c r="H109" s="23">
        <f t="shared" si="1"/>
        <v>48000</v>
      </c>
      <c r="I109" s="24" t="s">
        <v>27</v>
      </c>
      <c r="J109" s="24" t="s">
        <v>20</v>
      </c>
      <c r="K109" s="24" t="s">
        <v>28</v>
      </c>
      <c r="L109" s="23">
        <f t="shared" si="2"/>
        <v>2</v>
      </c>
      <c r="M109" s="23">
        <f t="shared" si="3"/>
        <v>2026</v>
      </c>
      <c r="N109" s="23">
        <f t="shared" si="4"/>
        <v>6</v>
      </c>
      <c r="O109" s="12" t="str">
        <f t="shared" si="5"/>
        <v>2-2026</v>
      </c>
    </row>
    <row r="110" ht="15.75" customHeight="1">
      <c r="A110" s="25">
        <v>46057.0</v>
      </c>
      <c r="B110" s="28" t="s">
        <v>239</v>
      </c>
      <c r="C110" s="21" t="s">
        <v>24</v>
      </c>
      <c r="D110" s="21" t="s">
        <v>240</v>
      </c>
      <c r="E110" s="21" t="s">
        <v>227</v>
      </c>
      <c r="F110" s="22">
        <v>1.0</v>
      </c>
      <c r="G110" s="26">
        <v>25000.0</v>
      </c>
      <c r="H110" s="23">
        <f t="shared" si="1"/>
        <v>25000</v>
      </c>
      <c r="I110" s="24" t="s">
        <v>27</v>
      </c>
      <c r="J110" s="24" t="s">
        <v>20</v>
      </c>
      <c r="K110" s="24" t="s">
        <v>32</v>
      </c>
      <c r="L110" s="23">
        <f t="shared" si="2"/>
        <v>2</v>
      </c>
      <c r="M110" s="23">
        <f t="shared" si="3"/>
        <v>2026</v>
      </c>
      <c r="N110" s="23">
        <f t="shared" si="4"/>
        <v>6</v>
      </c>
      <c r="O110" s="12" t="str">
        <f t="shared" si="5"/>
        <v>2-2026</v>
      </c>
    </row>
    <row r="111" ht="15.75" customHeight="1">
      <c r="A111" s="25">
        <v>46058.0</v>
      </c>
      <c r="B111" s="28" t="s">
        <v>241</v>
      </c>
      <c r="C111" s="21" t="s">
        <v>37</v>
      </c>
      <c r="D111" s="21" t="s">
        <v>37</v>
      </c>
      <c r="E111" s="21" t="s">
        <v>200</v>
      </c>
      <c r="F111" s="22">
        <v>1.0</v>
      </c>
      <c r="G111" s="26">
        <v>70000.0</v>
      </c>
      <c r="H111" s="23">
        <f t="shared" si="1"/>
        <v>70000</v>
      </c>
      <c r="I111" s="24" t="s">
        <v>27</v>
      </c>
      <c r="J111" s="24" t="s">
        <v>20</v>
      </c>
      <c r="K111" s="24" t="s">
        <v>28</v>
      </c>
      <c r="L111" s="23">
        <f t="shared" si="2"/>
        <v>2</v>
      </c>
      <c r="M111" s="23">
        <f t="shared" si="3"/>
        <v>2026</v>
      </c>
      <c r="N111" s="23">
        <f t="shared" si="4"/>
        <v>6</v>
      </c>
      <c r="O111" s="12" t="str">
        <f t="shared" si="5"/>
        <v>2-2026</v>
      </c>
    </row>
    <row r="112" ht="15.75" customHeight="1">
      <c r="A112" s="25">
        <v>46060.0</v>
      </c>
      <c r="B112" s="28" t="s">
        <v>242</v>
      </c>
      <c r="C112" s="21" t="s">
        <v>24</v>
      </c>
      <c r="D112" s="21" t="s">
        <v>240</v>
      </c>
      <c r="E112" s="21" t="s">
        <v>227</v>
      </c>
      <c r="F112" s="22">
        <v>1.0</v>
      </c>
      <c r="G112" s="26">
        <v>61600.0</v>
      </c>
      <c r="H112" s="23">
        <f t="shared" si="1"/>
        <v>61600</v>
      </c>
      <c r="I112" s="24" t="s">
        <v>27</v>
      </c>
      <c r="J112" s="24" t="s">
        <v>20</v>
      </c>
      <c r="K112" s="24" t="s">
        <v>32</v>
      </c>
      <c r="L112" s="23">
        <f t="shared" si="2"/>
        <v>2</v>
      </c>
      <c r="M112" s="23">
        <f t="shared" si="3"/>
        <v>2026</v>
      </c>
      <c r="N112" s="23">
        <f t="shared" si="4"/>
        <v>6</v>
      </c>
      <c r="O112" s="12" t="str">
        <f t="shared" si="5"/>
        <v>2-2026</v>
      </c>
    </row>
    <row r="113" ht="15.75" customHeight="1">
      <c r="A113" s="25">
        <v>46062.0</v>
      </c>
      <c r="B113" s="28" t="s">
        <v>243</v>
      </c>
      <c r="C113" s="21" t="s">
        <v>30</v>
      </c>
      <c r="D113" s="21" t="s">
        <v>30</v>
      </c>
      <c r="E113" s="21" t="s">
        <v>176</v>
      </c>
      <c r="F113" s="22">
        <v>1.0</v>
      </c>
      <c r="G113" s="26">
        <v>30000.0</v>
      </c>
      <c r="H113" s="23">
        <f t="shared" si="1"/>
        <v>30000</v>
      </c>
      <c r="I113" s="24" t="s">
        <v>27</v>
      </c>
      <c r="J113" s="24" t="s">
        <v>20</v>
      </c>
      <c r="K113" s="24" t="s">
        <v>28</v>
      </c>
      <c r="L113" s="23">
        <f t="shared" si="2"/>
        <v>2</v>
      </c>
      <c r="M113" s="23">
        <f t="shared" si="3"/>
        <v>2026</v>
      </c>
      <c r="N113" s="23">
        <f t="shared" si="4"/>
        <v>7</v>
      </c>
      <c r="O113" s="12" t="str">
        <f t="shared" si="5"/>
        <v>2-2026</v>
      </c>
    </row>
    <row r="114" ht="15.75" customHeight="1">
      <c r="A114" s="25">
        <v>46063.0</v>
      </c>
      <c r="B114" s="28" t="s">
        <v>244</v>
      </c>
      <c r="C114" s="21" t="s">
        <v>16</v>
      </c>
      <c r="D114" s="21" t="s">
        <v>17</v>
      </c>
      <c r="E114" s="21" t="s">
        <v>63</v>
      </c>
      <c r="F114" s="22">
        <v>1.0</v>
      </c>
      <c r="G114" s="26">
        <v>35000.0</v>
      </c>
      <c r="H114" s="23">
        <f t="shared" si="1"/>
        <v>35000</v>
      </c>
      <c r="I114" s="24" t="s">
        <v>27</v>
      </c>
      <c r="J114" s="24" t="s">
        <v>20</v>
      </c>
      <c r="K114" s="24" t="s">
        <v>28</v>
      </c>
      <c r="L114" s="23">
        <f t="shared" si="2"/>
        <v>2</v>
      </c>
      <c r="M114" s="23">
        <f t="shared" si="3"/>
        <v>2026</v>
      </c>
      <c r="N114" s="23">
        <f t="shared" si="4"/>
        <v>7</v>
      </c>
      <c r="O114" s="12" t="str">
        <f t="shared" si="5"/>
        <v>2-2026</v>
      </c>
    </row>
    <row r="115" ht="15.75" customHeight="1">
      <c r="A115" s="25">
        <v>46064.0</v>
      </c>
      <c r="B115" s="28" t="s">
        <v>245</v>
      </c>
      <c r="C115" s="21" t="s">
        <v>30</v>
      </c>
      <c r="D115" s="21" t="s">
        <v>246</v>
      </c>
      <c r="E115" s="21" t="s">
        <v>235</v>
      </c>
      <c r="F115" s="22">
        <v>1.0</v>
      </c>
      <c r="G115" s="26">
        <v>35000.0</v>
      </c>
      <c r="H115" s="23">
        <f t="shared" si="1"/>
        <v>35000</v>
      </c>
      <c r="I115" s="24" t="s">
        <v>27</v>
      </c>
      <c r="J115" s="24" t="s">
        <v>20</v>
      </c>
      <c r="K115" s="24" t="s">
        <v>28</v>
      </c>
      <c r="L115" s="23">
        <f t="shared" si="2"/>
        <v>2</v>
      </c>
      <c r="M115" s="23">
        <f t="shared" si="3"/>
        <v>2026</v>
      </c>
      <c r="N115" s="23">
        <f t="shared" si="4"/>
        <v>7</v>
      </c>
      <c r="O115" s="12" t="str">
        <f t="shared" si="5"/>
        <v>2-2026</v>
      </c>
    </row>
    <row r="116" ht="15.75" customHeight="1">
      <c r="A116" s="25">
        <v>46065.0</v>
      </c>
      <c r="B116" s="28" t="s">
        <v>247</v>
      </c>
      <c r="C116" s="21" t="s">
        <v>30</v>
      </c>
      <c r="D116" s="21" t="s">
        <v>248</v>
      </c>
      <c r="E116" s="21" t="s">
        <v>63</v>
      </c>
      <c r="F116" s="22">
        <v>1.0</v>
      </c>
      <c r="G116" s="26">
        <v>35000.0</v>
      </c>
      <c r="H116" s="23">
        <f t="shared" si="1"/>
        <v>35000</v>
      </c>
      <c r="I116" s="24" t="s">
        <v>27</v>
      </c>
      <c r="J116" s="24" t="s">
        <v>20</v>
      </c>
      <c r="K116" s="24" t="s">
        <v>28</v>
      </c>
      <c r="L116" s="23">
        <f t="shared" si="2"/>
        <v>2</v>
      </c>
      <c r="M116" s="23">
        <f t="shared" si="3"/>
        <v>2026</v>
      </c>
      <c r="N116" s="23">
        <f t="shared" si="4"/>
        <v>7</v>
      </c>
      <c r="O116" s="12" t="str">
        <f t="shared" si="5"/>
        <v>2-2026</v>
      </c>
    </row>
    <row r="117" ht="15.75" customHeight="1">
      <c r="A117" s="25">
        <v>46066.0</v>
      </c>
      <c r="B117" s="28" t="s">
        <v>249</v>
      </c>
      <c r="C117" s="21" t="s">
        <v>37</v>
      </c>
      <c r="D117" s="21" t="s">
        <v>250</v>
      </c>
      <c r="E117" s="21" t="s">
        <v>251</v>
      </c>
      <c r="F117" s="22">
        <v>1.0</v>
      </c>
      <c r="G117" s="26">
        <v>30000.0</v>
      </c>
      <c r="H117" s="23">
        <f t="shared" si="1"/>
        <v>30000</v>
      </c>
      <c r="I117" s="24" t="s">
        <v>27</v>
      </c>
      <c r="J117" s="24" t="s">
        <v>20</v>
      </c>
      <c r="K117" s="24" t="s">
        <v>28</v>
      </c>
      <c r="L117" s="23">
        <f t="shared" si="2"/>
        <v>2</v>
      </c>
      <c r="M117" s="23">
        <f t="shared" si="3"/>
        <v>2026</v>
      </c>
      <c r="N117" s="23">
        <f t="shared" si="4"/>
        <v>7</v>
      </c>
      <c r="O117" s="12" t="str">
        <f t="shared" si="5"/>
        <v>2-2026</v>
      </c>
    </row>
    <row r="118" ht="15.75" customHeight="1">
      <c r="A118" s="25">
        <v>46066.0</v>
      </c>
      <c r="B118" s="28" t="s">
        <v>252</v>
      </c>
      <c r="C118" s="21" t="s">
        <v>37</v>
      </c>
      <c r="D118" s="21" t="s">
        <v>37</v>
      </c>
      <c r="E118" s="21" t="s">
        <v>253</v>
      </c>
      <c r="F118" s="22">
        <v>1.0</v>
      </c>
      <c r="G118" s="26">
        <v>35000.0</v>
      </c>
      <c r="H118" s="23">
        <f t="shared" si="1"/>
        <v>35000</v>
      </c>
      <c r="I118" s="24" t="s">
        <v>27</v>
      </c>
      <c r="J118" s="24" t="s">
        <v>20</v>
      </c>
      <c r="K118" s="24" t="s">
        <v>28</v>
      </c>
      <c r="L118" s="23">
        <f t="shared" si="2"/>
        <v>2</v>
      </c>
      <c r="M118" s="23">
        <f t="shared" si="3"/>
        <v>2026</v>
      </c>
      <c r="N118" s="23">
        <f t="shared" si="4"/>
        <v>7</v>
      </c>
      <c r="O118" s="12" t="str">
        <f t="shared" si="5"/>
        <v>2-2026</v>
      </c>
    </row>
    <row r="119" ht="15.75" customHeight="1">
      <c r="A119" s="25">
        <v>46067.0</v>
      </c>
      <c r="B119" s="28" t="s">
        <v>254</v>
      </c>
      <c r="C119" s="21" t="s">
        <v>37</v>
      </c>
      <c r="D119" s="21" t="s">
        <v>255</v>
      </c>
      <c r="E119" s="21" t="s">
        <v>200</v>
      </c>
      <c r="F119" s="22">
        <v>1.0</v>
      </c>
      <c r="G119" s="26">
        <v>70000.0</v>
      </c>
      <c r="H119" s="23">
        <f t="shared" si="1"/>
        <v>70000</v>
      </c>
      <c r="I119" s="24" t="s">
        <v>27</v>
      </c>
      <c r="J119" s="24" t="s">
        <v>20</v>
      </c>
      <c r="K119" s="24" t="s">
        <v>28</v>
      </c>
      <c r="L119" s="23">
        <f t="shared" si="2"/>
        <v>2</v>
      </c>
      <c r="M119" s="23">
        <f t="shared" si="3"/>
        <v>2026</v>
      </c>
      <c r="N119" s="23">
        <f t="shared" si="4"/>
        <v>7</v>
      </c>
      <c r="O119" s="12" t="str">
        <f t="shared" si="5"/>
        <v>2-2026</v>
      </c>
    </row>
    <row r="120" ht="15.75" customHeight="1">
      <c r="A120" s="25">
        <v>46067.0</v>
      </c>
      <c r="B120" s="28" t="s">
        <v>256</v>
      </c>
      <c r="C120" s="21" t="s">
        <v>37</v>
      </c>
      <c r="D120" s="21" t="s">
        <v>257</v>
      </c>
      <c r="E120" s="21" t="s">
        <v>151</v>
      </c>
      <c r="F120" s="22">
        <v>1.0</v>
      </c>
      <c r="G120" s="26">
        <v>45000.0</v>
      </c>
      <c r="H120" s="23">
        <f t="shared" si="1"/>
        <v>45000</v>
      </c>
      <c r="I120" s="24" t="s">
        <v>27</v>
      </c>
      <c r="J120" s="24" t="s">
        <v>20</v>
      </c>
      <c r="K120" s="24" t="s">
        <v>28</v>
      </c>
      <c r="L120" s="23">
        <f t="shared" si="2"/>
        <v>2</v>
      </c>
      <c r="M120" s="23">
        <f t="shared" si="3"/>
        <v>2026</v>
      </c>
      <c r="N120" s="23">
        <f t="shared" si="4"/>
        <v>7</v>
      </c>
      <c r="O120" s="12" t="str">
        <f t="shared" si="5"/>
        <v>2-2026</v>
      </c>
    </row>
    <row r="121" ht="15.75" customHeight="1">
      <c r="A121" s="25">
        <v>46070.0</v>
      </c>
      <c r="B121" s="28" t="s">
        <v>258</v>
      </c>
      <c r="C121" s="21" t="s">
        <v>24</v>
      </c>
      <c r="D121" s="21" t="s">
        <v>24</v>
      </c>
      <c r="E121" s="21" t="s">
        <v>63</v>
      </c>
      <c r="F121" s="22">
        <v>1.0</v>
      </c>
      <c r="G121" s="26">
        <v>35000.0</v>
      </c>
      <c r="H121" s="23">
        <f t="shared" si="1"/>
        <v>35000</v>
      </c>
      <c r="I121" s="24" t="s">
        <v>27</v>
      </c>
      <c r="J121" s="24" t="s">
        <v>20</v>
      </c>
      <c r="K121" s="24" t="s">
        <v>28</v>
      </c>
      <c r="L121" s="23">
        <f t="shared" si="2"/>
        <v>2</v>
      </c>
      <c r="M121" s="23">
        <f t="shared" si="3"/>
        <v>2026</v>
      </c>
      <c r="N121" s="23">
        <f t="shared" si="4"/>
        <v>8</v>
      </c>
      <c r="O121" s="12" t="str">
        <f t="shared" si="5"/>
        <v>2-2026</v>
      </c>
    </row>
    <row r="122" ht="15.75" customHeight="1">
      <c r="A122" s="25">
        <v>46070.0</v>
      </c>
      <c r="B122" s="28" t="s">
        <v>259</v>
      </c>
      <c r="C122" s="21" t="s">
        <v>123</v>
      </c>
      <c r="D122" s="21" t="s">
        <v>123</v>
      </c>
      <c r="E122" s="21" t="s">
        <v>115</v>
      </c>
      <c r="F122" s="22">
        <v>1.0</v>
      </c>
      <c r="G122" s="26">
        <v>30000.0</v>
      </c>
      <c r="H122" s="23">
        <f t="shared" si="1"/>
        <v>30000</v>
      </c>
      <c r="I122" s="24" t="s">
        <v>27</v>
      </c>
      <c r="J122" s="24" t="s">
        <v>20</v>
      </c>
      <c r="K122" s="24" t="s">
        <v>28</v>
      </c>
      <c r="L122" s="23">
        <f t="shared" si="2"/>
        <v>2</v>
      </c>
      <c r="M122" s="23">
        <f t="shared" si="3"/>
        <v>2026</v>
      </c>
      <c r="N122" s="23">
        <f t="shared" si="4"/>
        <v>8</v>
      </c>
      <c r="O122" s="12" t="str">
        <f t="shared" si="5"/>
        <v>2-2026</v>
      </c>
    </row>
    <row r="123" ht="15.75" customHeight="1">
      <c r="A123" s="25">
        <v>46072.0</v>
      </c>
      <c r="B123" s="28" t="s">
        <v>260</v>
      </c>
      <c r="C123" s="21" t="s">
        <v>16</v>
      </c>
      <c r="D123" s="21" t="s">
        <v>261</v>
      </c>
      <c r="E123" s="21" t="s">
        <v>262</v>
      </c>
      <c r="F123" s="22">
        <v>1.0</v>
      </c>
      <c r="G123" s="26">
        <v>85000.0</v>
      </c>
      <c r="H123" s="23">
        <f t="shared" si="1"/>
        <v>85000</v>
      </c>
      <c r="I123" s="24" t="s">
        <v>27</v>
      </c>
      <c r="J123" s="24" t="s">
        <v>20</v>
      </c>
      <c r="K123" s="24" t="s">
        <v>28</v>
      </c>
      <c r="L123" s="23">
        <f t="shared" si="2"/>
        <v>2</v>
      </c>
      <c r="M123" s="23">
        <f t="shared" si="3"/>
        <v>2026</v>
      </c>
      <c r="N123" s="23">
        <f t="shared" si="4"/>
        <v>8</v>
      </c>
      <c r="O123" s="12" t="str">
        <f t="shared" si="5"/>
        <v>2-2026</v>
      </c>
    </row>
    <row r="124" ht="15.75" customHeight="1">
      <c r="A124" s="25">
        <v>46073.0</v>
      </c>
      <c r="B124" s="28" t="s">
        <v>263</v>
      </c>
      <c r="C124" s="21" t="s">
        <v>37</v>
      </c>
      <c r="D124" s="21" t="s">
        <v>37</v>
      </c>
      <c r="E124" s="21" t="s">
        <v>264</v>
      </c>
      <c r="F124" s="22">
        <v>1.0</v>
      </c>
      <c r="G124" s="26">
        <v>40000.0</v>
      </c>
      <c r="H124" s="23">
        <f t="shared" si="1"/>
        <v>40000</v>
      </c>
      <c r="I124" s="24" t="s">
        <v>27</v>
      </c>
      <c r="J124" s="24" t="s">
        <v>20</v>
      </c>
      <c r="K124" s="24" t="s">
        <v>28</v>
      </c>
      <c r="L124" s="23">
        <f t="shared" si="2"/>
        <v>2</v>
      </c>
      <c r="M124" s="23">
        <f t="shared" si="3"/>
        <v>2026</v>
      </c>
      <c r="N124" s="23">
        <f t="shared" si="4"/>
        <v>8</v>
      </c>
      <c r="O124" s="12" t="str">
        <f t="shared" si="5"/>
        <v>2-2026</v>
      </c>
    </row>
    <row r="125" ht="15.75" customHeight="1">
      <c r="A125" s="25">
        <v>46074.0</v>
      </c>
      <c r="B125" s="28" t="s">
        <v>265</v>
      </c>
      <c r="C125" s="21" t="s">
        <v>24</v>
      </c>
      <c r="D125" s="21" t="s">
        <v>24</v>
      </c>
      <c r="E125" s="21" t="s">
        <v>266</v>
      </c>
      <c r="F125" s="22">
        <v>1.0</v>
      </c>
      <c r="G125" s="26">
        <v>50000.0</v>
      </c>
      <c r="H125" s="23">
        <f t="shared" si="1"/>
        <v>50000</v>
      </c>
      <c r="I125" s="24" t="s">
        <v>27</v>
      </c>
      <c r="J125" s="24" t="s">
        <v>20</v>
      </c>
      <c r="K125" s="24" t="s">
        <v>22</v>
      </c>
      <c r="L125" s="23">
        <f t="shared" si="2"/>
        <v>2</v>
      </c>
      <c r="M125" s="23">
        <f t="shared" si="3"/>
        <v>2026</v>
      </c>
      <c r="N125" s="23">
        <f t="shared" si="4"/>
        <v>8</v>
      </c>
      <c r="O125" s="12" t="str">
        <f t="shared" si="5"/>
        <v>2-2026</v>
      </c>
    </row>
    <row r="126" ht="15.75" customHeight="1">
      <c r="A126" s="25">
        <v>46076.0</v>
      </c>
      <c r="B126" s="28" t="s">
        <v>267</v>
      </c>
      <c r="C126" s="21" t="s">
        <v>24</v>
      </c>
      <c r="D126" s="21" t="s">
        <v>268</v>
      </c>
      <c r="E126" s="21" t="s">
        <v>127</v>
      </c>
      <c r="F126" s="22">
        <v>1.0</v>
      </c>
      <c r="G126" s="26">
        <v>40000.0</v>
      </c>
      <c r="H126" s="23">
        <f t="shared" si="1"/>
        <v>40000</v>
      </c>
      <c r="I126" s="24" t="s">
        <v>27</v>
      </c>
      <c r="J126" s="24" t="s">
        <v>20</v>
      </c>
      <c r="K126" s="24" t="s">
        <v>28</v>
      </c>
      <c r="L126" s="23">
        <f t="shared" si="2"/>
        <v>2</v>
      </c>
      <c r="M126" s="23">
        <f t="shared" si="3"/>
        <v>2026</v>
      </c>
      <c r="N126" s="23">
        <f t="shared" si="4"/>
        <v>9</v>
      </c>
      <c r="O126" s="12" t="str">
        <f t="shared" si="5"/>
        <v>2-2026</v>
      </c>
    </row>
    <row r="127" ht="15.75" customHeight="1">
      <c r="A127" s="25">
        <v>46078.0</v>
      </c>
      <c r="B127" s="28" t="s">
        <v>269</v>
      </c>
      <c r="C127" s="21" t="s">
        <v>37</v>
      </c>
      <c r="D127" s="21" t="s">
        <v>37</v>
      </c>
      <c r="E127" s="21" t="s">
        <v>270</v>
      </c>
      <c r="F127" s="22">
        <v>1.0</v>
      </c>
      <c r="G127" s="26">
        <v>50000.0</v>
      </c>
      <c r="H127" s="23">
        <f t="shared" si="1"/>
        <v>50000</v>
      </c>
      <c r="I127" s="24" t="s">
        <v>27</v>
      </c>
      <c r="J127" s="24" t="s">
        <v>20</v>
      </c>
      <c r="K127" s="24" t="s">
        <v>28</v>
      </c>
      <c r="L127" s="23">
        <f t="shared" si="2"/>
        <v>2</v>
      </c>
      <c r="M127" s="23">
        <f t="shared" si="3"/>
        <v>2026</v>
      </c>
      <c r="N127" s="23">
        <f t="shared" si="4"/>
        <v>9</v>
      </c>
      <c r="O127" s="12" t="str">
        <f t="shared" si="5"/>
        <v>2-2026</v>
      </c>
    </row>
    <row r="128" ht="15.75" customHeight="1">
      <c r="A128" s="25">
        <v>46079.0</v>
      </c>
      <c r="B128" s="28" t="s">
        <v>271</v>
      </c>
      <c r="C128" s="21" t="s">
        <v>24</v>
      </c>
      <c r="D128" s="21" t="s">
        <v>24</v>
      </c>
      <c r="E128" s="21" t="s">
        <v>203</v>
      </c>
      <c r="F128" s="22">
        <v>1.0</v>
      </c>
      <c r="G128" s="26">
        <v>30000.0</v>
      </c>
      <c r="H128" s="23">
        <f t="shared" si="1"/>
        <v>30000</v>
      </c>
      <c r="I128" s="24" t="s">
        <v>27</v>
      </c>
      <c r="J128" s="24" t="s">
        <v>20</v>
      </c>
      <c r="K128" s="24" t="s">
        <v>28</v>
      </c>
      <c r="L128" s="23">
        <f t="shared" si="2"/>
        <v>2</v>
      </c>
      <c r="M128" s="23">
        <f t="shared" si="3"/>
        <v>2026</v>
      </c>
      <c r="N128" s="23">
        <f t="shared" si="4"/>
        <v>9</v>
      </c>
      <c r="O128" s="12" t="str">
        <f t="shared" si="5"/>
        <v>2-2026</v>
      </c>
    </row>
    <row r="129" ht="15.75" customHeight="1">
      <c r="A129" s="25">
        <v>46080.0</v>
      </c>
      <c r="B129" s="28" t="s">
        <v>227</v>
      </c>
      <c r="C129" s="21" t="s">
        <v>24</v>
      </c>
      <c r="D129" s="21" t="s">
        <v>24</v>
      </c>
      <c r="E129" s="21" t="s">
        <v>227</v>
      </c>
      <c r="F129" s="22">
        <v>1.0</v>
      </c>
      <c r="G129" s="26">
        <v>80000.0</v>
      </c>
      <c r="H129" s="23">
        <f t="shared" si="1"/>
        <v>80000</v>
      </c>
      <c r="I129" s="24" t="s">
        <v>27</v>
      </c>
      <c r="J129" s="24" t="s">
        <v>20</v>
      </c>
      <c r="K129" s="24" t="s">
        <v>28</v>
      </c>
      <c r="L129" s="23">
        <f t="shared" si="2"/>
        <v>2</v>
      </c>
      <c r="M129" s="23">
        <f t="shared" si="3"/>
        <v>2026</v>
      </c>
      <c r="N129" s="23">
        <f t="shared" si="4"/>
        <v>9</v>
      </c>
      <c r="O129" s="12" t="str">
        <f t="shared" si="5"/>
        <v>2-2026</v>
      </c>
    </row>
    <row r="130" ht="15.75" customHeight="1">
      <c r="A130" s="25">
        <v>46084.0</v>
      </c>
      <c r="B130" s="28" t="s">
        <v>272</v>
      </c>
      <c r="C130" s="21" t="s">
        <v>24</v>
      </c>
      <c r="D130" s="21" t="s">
        <v>222</v>
      </c>
      <c r="E130" s="21" t="s">
        <v>273</v>
      </c>
      <c r="F130" s="22">
        <v>1.0</v>
      </c>
      <c r="G130" s="26">
        <v>80000.0</v>
      </c>
      <c r="H130" s="23">
        <f t="shared" si="1"/>
        <v>80000</v>
      </c>
      <c r="I130" s="24" t="s">
        <v>27</v>
      </c>
      <c r="J130" s="24" t="s">
        <v>20</v>
      </c>
      <c r="K130" s="24" t="s">
        <v>28</v>
      </c>
      <c r="L130" s="23">
        <f t="shared" si="2"/>
        <v>3</v>
      </c>
      <c r="M130" s="23">
        <f t="shared" si="3"/>
        <v>2026</v>
      </c>
      <c r="N130" s="23">
        <f t="shared" si="4"/>
        <v>10</v>
      </c>
      <c r="O130" s="12" t="str">
        <f t="shared" si="5"/>
        <v>3-2026</v>
      </c>
    </row>
    <row r="131" ht="15.75" customHeight="1">
      <c r="A131" s="25">
        <v>46088.0</v>
      </c>
      <c r="B131" s="28" t="s">
        <v>274</v>
      </c>
      <c r="C131" s="21" t="s">
        <v>16</v>
      </c>
      <c r="D131" s="21" t="s">
        <v>17</v>
      </c>
      <c r="E131" s="21" t="s">
        <v>227</v>
      </c>
      <c r="F131" s="22">
        <v>1.0</v>
      </c>
      <c r="G131" s="26">
        <v>130000.0</v>
      </c>
      <c r="H131" s="23">
        <f t="shared" si="1"/>
        <v>130000</v>
      </c>
      <c r="I131" s="24" t="s">
        <v>27</v>
      </c>
      <c r="J131" s="24" t="s">
        <v>20</v>
      </c>
      <c r="K131" s="24" t="s">
        <v>28</v>
      </c>
      <c r="L131" s="23">
        <f t="shared" si="2"/>
        <v>3</v>
      </c>
      <c r="M131" s="23">
        <f t="shared" si="3"/>
        <v>2026</v>
      </c>
      <c r="N131" s="23">
        <f t="shared" si="4"/>
        <v>10</v>
      </c>
      <c r="O131" s="12" t="str">
        <f t="shared" si="5"/>
        <v>3-2026</v>
      </c>
    </row>
    <row r="132" ht="15.75" customHeight="1">
      <c r="A132" s="25">
        <v>45360.0</v>
      </c>
      <c r="B132" s="28" t="s">
        <v>275</v>
      </c>
      <c r="C132" s="21" t="s">
        <v>37</v>
      </c>
      <c r="D132" s="21" t="s">
        <v>37</v>
      </c>
      <c r="E132" s="21" t="s">
        <v>276</v>
      </c>
      <c r="F132" s="22">
        <v>1.0</v>
      </c>
      <c r="G132" s="26">
        <v>28800.0</v>
      </c>
      <c r="H132" s="23">
        <f t="shared" si="1"/>
        <v>28800</v>
      </c>
      <c r="I132" s="24" t="s">
        <v>27</v>
      </c>
      <c r="J132" s="24" t="s">
        <v>20</v>
      </c>
      <c r="K132" s="24" t="s">
        <v>28</v>
      </c>
      <c r="L132" s="23">
        <f t="shared" si="2"/>
        <v>3</v>
      </c>
      <c r="M132" s="23">
        <f t="shared" si="3"/>
        <v>2024</v>
      </c>
      <c r="N132" s="23">
        <f t="shared" si="4"/>
        <v>10</v>
      </c>
      <c r="O132" s="12" t="str">
        <f t="shared" si="5"/>
        <v>3-2024</v>
      </c>
    </row>
    <row r="133" ht="15.75" customHeight="1">
      <c r="A133" s="25">
        <v>46107.0</v>
      </c>
      <c r="B133" s="27" t="s">
        <v>277</v>
      </c>
      <c r="C133" s="21" t="s">
        <v>278</v>
      </c>
      <c r="D133" s="21" t="s">
        <v>278</v>
      </c>
      <c r="E133" s="21" t="s">
        <v>115</v>
      </c>
      <c r="F133" s="22">
        <v>1.0</v>
      </c>
      <c r="G133" s="26">
        <v>30000.0</v>
      </c>
      <c r="H133" s="23">
        <f t="shared" si="1"/>
        <v>30000</v>
      </c>
      <c r="I133" s="24" t="s">
        <v>27</v>
      </c>
      <c r="J133" s="24" t="s">
        <v>20</v>
      </c>
      <c r="K133" s="24" t="s">
        <v>28</v>
      </c>
      <c r="L133" s="23">
        <f t="shared" si="2"/>
        <v>3</v>
      </c>
      <c r="M133" s="23">
        <f t="shared" si="3"/>
        <v>2026</v>
      </c>
      <c r="N133" s="23">
        <f t="shared" si="4"/>
        <v>13</v>
      </c>
      <c r="O133" s="12" t="str">
        <f t="shared" si="5"/>
        <v>3-2026</v>
      </c>
    </row>
    <row r="134" ht="15.75" customHeight="1">
      <c r="A134" s="25">
        <v>46109.0</v>
      </c>
      <c r="B134" s="27" t="s">
        <v>279</v>
      </c>
      <c r="C134" s="21" t="s">
        <v>16</v>
      </c>
      <c r="D134" s="21" t="s">
        <v>17</v>
      </c>
      <c r="E134" s="21" t="s">
        <v>276</v>
      </c>
      <c r="F134" s="22">
        <v>1.0</v>
      </c>
      <c r="G134" s="26">
        <v>108000.0</v>
      </c>
      <c r="H134" s="23">
        <f t="shared" si="1"/>
        <v>108000</v>
      </c>
      <c r="I134" s="24" t="s">
        <v>27</v>
      </c>
      <c r="J134" s="24" t="s">
        <v>20</v>
      </c>
      <c r="K134" s="24" t="s">
        <v>28</v>
      </c>
      <c r="L134" s="23">
        <f t="shared" si="2"/>
        <v>3</v>
      </c>
      <c r="M134" s="23">
        <f t="shared" si="3"/>
        <v>2026</v>
      </c>
      <c r="N134" s="23">
        <f t="shared" si="4"/>
        <v>13</v>
      </c>
      <c r="O134" s="12" t="str">
        <f t="shared" si="5"/>
        <v>3-2026</v>
      </c>
    </row>
    <row r="135" ht="15.75" customHeight="1">
      <c r="A135" s="25">
        <v>46109.0</v>
      </c>
      <c r="B135" s="28" t="s">
        <v>280</v>
      </c>
      <c r="C135" s="21" t="s">
        <v>24</v>
      </c>
      <c r="D135" s="21" t="s">
        <v>24</v>
      </c>
      <c r="E135" s="21" t="s">
        <v>235</v>
      </c>
      <c r="F135" s="22">
        <v>1.0</v>
      </c>
      <c r="G135" s="26">
        <v>35000.0</v>
      </c>
      <c r="H135" s="23">
        <f t="shared" si="1"/>
        <v>35000</v>
      </c>
      <c r="I135" s="24" t="s">
        <v>27</v>
      </c>
      <c r="J135" s="24" t="s">
        <v>20</v>
      </c>
      <c r="K135" s="24" t="s">
        <v>28</v>
      </c>
      <c r="L135" s="23">
        <f t="shared" si="2"/>
        <v>3</v>
      </c>
      <c r="M135" s="23">
        <f t="shared" si="3"/>
        <v>2026</v>
      </c>
      <c r="N135" s="23">
        <f t="shared" si="4"/>
        <v>13</v>
      </c>
      <c r="O135" s="12" t="str">
        <f t="shared" si="5"/>
        <v>3-2026</v>
      </c>
    </row>
    <row r="136" ht="15.0" customHeight="1">
      <c r="A136" s="25">
        <v>46110.0</v>
      </c>
      <c r="B136" s="28" t="s">
        <v>281</v>
      </c>
      <c r="C136" s="21" t="s">
        <v>37</v>
      </c>
      <c r="D136" s="21" t="s">
        <v>37</v>
      </c>
      <c r="E136" s="21" t="s">
        <v>276</v>
      </c>
      <c r="F136" s="22">
        <v>1.0</v>
      </c>
      <c r="G136" s="26">
        <v>135000.0</v>
      </c>
      <c r="H136" s="23">
        <f t="shared" si="1"/>
        <v>135000</v>
      </c>
      <c r="I136" s="24" t="s">
        <v>27</v>
      </c>
      <c r="J136" s="24" t="s">
        <v>20</v>
      </c>
      <c r="K136" s="24" t="s">
        <v>28</v>
      </c>
      <c r="L136" s="23">
        <f t="shared" si="2"/>
        <v>3</v>
      </c>
      <c r="M136" s="23">
        <f t="shared" si="3"/>
        <v>2026</v>
      </c>
      <c r="N136" s="23">
        <f t="shared" si="4"/>
        <v>13</v>
      </c>
      <c r="O136" s="12" t="str">
        <f t="shared" si="5"/>
        <v>3-2026</v>
      </c>
    </row>
    <row r="137" ht="15.0" customHeight="1">
      <c r="A137" s="29">
        <v>46115.0</v>
      </c>
      <c r="B137" s="30" t="s">
        <v>282</v>
      </c>
      <c r="C137" s="13" t="s">
        <v>24</v>
      </c>
      <c r="D137" s="31" t="s">
        <v>24</v>
      </c>
      <c r="E137" s="13" t="s">
        <v>58</v>
      </c>
      <c r="F137" s="13">
        <v>1.0</v>
      </c>
      <c r="G137" s="13">
        <v>35000.0</v>
      </c>
      <c r="H137" s="32">
        <f t="shared" si="1"/>
        <v>35000</v>
      </c>
      <c r="I137" s="33" t="s">
        <v>27</v>
      </c>
      <c r="J137" s="33" t="s">
        <v>20</v>
      </c>
      <c r="K137" s="33" t="s">
        <v>28</v>
      </c>
      <c r="L137" s="32">
        <f t="shared" si="2"/>
        <v>4</v>
      </c>
      <c r="M137" s="32">
        <f t="shared" si="3"/>
        <v>2026</v>
      </c>
      <c r="N137" s="32">
        <f t="shared" si="4"/>
        <v>14</v>
      </c>
      <c r="O137" s="34" t="str">
        <f t="shared" si="5"/>
        <v>4-2026</v>
      </c>
    </row>
    <row r="138" ht="15.75" customHeight="1">
      <c r="A138" s="29">
        <v>46119.0</v>
      </c>
      <c r="B138" s="30" t="s">
        <v>283</v>
      </c>
      <c r="C138" s="13" t="s">
        <v>30</v>
      </c>
      <c r="D138" s="31" t="s">
        <v>30</v>
      </c>
      <c r="E138" s="13" t="s">
        <v>284</v>
      </c>
      <c r="F138" s="13">
        <v>1.0</v>
      </c>
      <c r="G138" s="13">
        <v>45000.0</v>
      </c>
      <c r="H138" s="32">
        <f t="shared" si="1"/>
        <v>45000</v>
      </c>
      <c r="I138" s="33" t="s">
        <v>27</v>
      </c>
      <c r="J138" s="33" t="s">
        <v>20</v>
      </c>
      <c r="K138" s="33" t="s">
        <v>28</v>
      </c>
      <c r="L138" s="32">
        <f t="shared" si="2"/>
        <v>4</v>
      </c>
      <c r="M138" s="32">
        <f t="shared" si="3"/>
        <v>2026</v>
      </c>
      <c r="N138" s="32">
        <f t="shared" si="4"/>
        <v>15</v>
      </c>
      <c r="O138" s="34" t="str">
        <f t="shared" si="5"/>
        <v>4-2026</v>
      </c>
    </row>
    <row r="139" ht="15.75" customHeight="1">
      <c r="A139" s="29">
        <v>46122.0</v>
      </c>
      <c r="B139" s="30" t="s">
        <v>285</v>
      </c>
      <c r="C139" s="13" t="s">
        <v>37</v>
      </c>
      <c r="D139" s="31" t="s">
        <v>37</v>
      </c>
      <c r="E139" s="13" t="s">
        <v>276</v>
      </c>
      <c r="F139" s="13">
        <v>28800.0</v>
      </c>
      <c r="H139" s="32">
        <f t="shared" si="1"/>
        <v>0</v>
      </c>
      <c r="I139" s="33" t="s">
        <v>27</v>
      </c>
      <c r="J139" s="33" t="s">
        <v>20</v>
      </c>
      <c r="K139" s="33" t="s">
        <v>28</v>
      </c>
      <c r="L139" s="32">
        <f t="shared" si="2"/>
        <v>4</v>
      </c>
      <c r="M139" s="32">
        <f t="shared" si="3"/>
        <v>2026</v>
      </c>
      <c r="N139" s="32">
        <f t="shared" si="4"/>
        <v>15</v>
      </c>
      <c r="O139" s="34" t="str">
        <f t="shared" si="5"/>
        <v>4-2026</v>
      </c>
    </row>
    <row r="140" ht="15.75" customHeight="1">
      <c r="A140" s="29">
        <v>46123.0</v>
      </c>
      <c r="B140" s="30" t="s">
        <v>286</v>
      </c>
      <c r="C140" s="13" t="s">
        <v>37</v>
      </c>
      <c r="D140" s="31" t="s">
        <v>37</v>
      </c>
      <c r="E140" s="13" t="s">
        <v>115</v>
      </c>
      <c r="F140" s="13">
        <v>1.0</v>
      </c>
      <c r="G140" s="13">
        <v>30000.0</v>
      </c>
      <c r="H140" s="32">
        <f t="shared" si="1"/>
        <v>30000</v>
      </c>
      <c r="I140" s="33" t="s">
        <v>27</v>
      </c>
      <c r="J140" s="33" t="s">
        <v>20</v>
      </c>
      <c r="K140" s="33" t="s">
        <v>32</v>
      </c>
      <c r="L140" s="32">
        <f t="shared" si="2"/>
        <v>4</v>
      </c>
      <c r="M140" s="32">
        <f t="shared" si="3"/>
        <v>2026</v>
      </c>
      <c r="N140" s="32">
        <f t="shared" si="4"/>
        <v>15</v>
      </c>
      <c r="O140" s="34" t="str">
        <f t="shared" si="5"/>
        <v>4-2026</v>
      </c>
    </row>
    <row r="141" ht="15.75" customHeight="1">
      <c r="B141" s="35"/>
      <c r="D141" s="36"/>
      <c r="H141" s="32">
        <f t="shared" si="1"/>
        <v>0</v>
      </c>
      <c r="I141" s="33" t="s">
        <v>27</v>
      </c>
      <c r="J141" s="33" t="s">
        <v>20</v>
      </c>
      <c r="K141" s="33" t="s">
        <v>28</v>
      </c>
      <c r="L141" s="32">
        <f t="shared" si="2"/>
        <v>12</v>
      </c>
      <c r="M141" s="32">
        <f t="shared" si="3"/>
        <v>1899</v>
      </c>
      <c r="N141" s="32">
        <f t="shared" si="4"/>
        <v>53</v>
      </c>
      <c r="O141" s="34" t="str">
        <f t="shared" si="5"/>
        <v>12-1899</v>
      </c>
    </row>
    <row r="142" ht="15.75" customHeight="1">
      <c r="A142" s="29">
        <v>46125.0</v>
      </c>
      <c r="B142" s="30" t="s">
        <v>287</v>
      </c>
      <c r="C142" s="13" t="s">
        <v>24</v>
      </c>
      <c r="D142" s="31" t="s">
        <v>24</v>
      </c>
      <c r="E142" s="13" t="s">
        <v>63</v>
      </c>
      <c r="F142" s="13">
        <v>1.0</v>
      </c>
      <c r="G142" s="13">
        <v>35000.0</v>
      </c>
      <c r="H142" s="32">
        <f t="shared" si="1"/>
        <v>35000</v>
      </c>
      <c r="I142" s="33" t="s">
        <v>27</v>
      </c>
      <c r="J142" s="33" t="s">
        <v>20</v>
      </c>
      <c r="K142" s="33" t="s">
        <v>22</v>
      </c>
      <c r="L142" s="32">
        <f t="shared" si="2"/>
        <v>4</v>
      </c>
      <c r="M142" s="32">
        <f t="shared" si="3"/>
        <v>2026</v>
      </c>
      <c r="N142" s="32">
        <f t="shared" si="4"/>
        <v>16</v>
      </c>
      <c r="O142" s="34" t="str">
        <f t="shared" si="5"/>
        <v>4-2026</v>
      </c>
    </row>
    <row r="143" ht="15.75" customHeight="1">
      <c r="A143" s="29">
        <v>46127.0</v>
      </c>
      <c r="B143" s="30" t="s">
        <v>281</v>
      </c>
      <c r="C143" s="13" t="s">
        <v>37</v>
      </c>
      <c r="D143" s="13" t="s">
        <v>37</v>
      </c>
      <c r="E143" s="13" t="s">
        <v>288</v>
      </c>
      <c r="F143" s="13">
        <v>1.0</v>
      </c>
      <c r="G143" s="13">
        <v>20000.0</v>
      </c>
      <c r="H143" s="32">
        <f t="shared" si="1"/>
        <v>20000</v>
      </c>
      <c r="I143" s="33" t="s">
        <v>27</v>
      </c>
      <c r="J143" s="33" t="s">
        <v>20</v>
      </c>
      <c r="K143" s="33" t="s">
        <v>28</v>
      </c>
      <c r="L143" s="32">
        <f t="shared" si="2"/>
        <v>4</v>
      </c>
      <c r="M143" s="32">
        <f t="shared" si="3"/>
        <v>2026</v>
      </c>
      <c r="N143" s="32">
        <f t="shared" si="4"/>
        <v>16</v>
      </c>
      <c r="O143" s="34" t="str">
        <f t="shared" si="5"/>
        <v>4-2026</v>
      </c>
    </row>
    <row r="144" ht="15.75" customHeight="1">
      <c r="A144" s="29">
        <v>46127.0</v>
      </c>
      <c r="B144" s="30" t="s">
        <v>289</v>
      </c>
      <c r="C144" s="13" t="s">
        <v>37</v>
      </c>
      <c r="D144" s="31" t="s">
        <v>37</v>
      </c>
      <c r="E144" s="13" t="s">
        <v>290</v>
      </c>
      <c r="F144" s="13">
        <v>1.0</v>
      </c>
      <c r="G144" s="13">
        <v>30000.0</v>
      </c>
      <c r="H144" s="32">
        <f t="shared" si="1"/>
        <v>30000</v>
      </c>
      <c r="I144" s="33" t="s">
        <v>27</v>
      </c>
      <c r="J144" s="33" t="s">
        <v>20</v>
      </c>
      <c r="K144" s="33" t="s">
        <v>28</v>
      </c>
      <c r="L144" s="32">
        <f t="shared" si="2"/>
        <v>4</v>
      </c>
      <c r="M144" s="32">
        <f t="shared" si="3"/>
        <v>2026</v>
      </c>
      <c r="N144" s="32">
        <f t="shared" si="4"/>
        <v>16</v>
      </c>
      <c r="O144" s="34" t="str">
        <f t="shared" si="5"/>
        <v>4-2026</v>
      </c>
    </row>
    <row r="145" ht="15.75" customHeight="1">
      <c r="B145" s="35"/>
      <c r="D145" s="36"/>
    </row>
    <row r="146" ht="15.75" customHeight="1">
      <c r="B146" s="35"/>
      <c r="D146" s="36"/>
    </row>
    <row r="147" ht="15.75" customHeight="1">
      <c r="B147" s="35"/>
      <c r="D147" s="36"/>
    </row>
    <row r="148" ht="15.75" customHeight="1">
      <c r="B148" s="35"/>
      <c r="D148" s="36"/>
    </row>
    <row r="149" ht="15.75" customHeight="1">
      <c r="B149" s="35"/>
      <c r="D149" s="36"/>
    </row>
    <row r="150" ht="15.75" customHeight="1">
      <c r="B150" s="35"/>
      <c r="D150" s="36"/>
    </row>
    <row r="151" ht="15.75" customHeight="1">
      <c r="B151" s="35"/>
      <c r="D151" s="36"/>
    </row>
    <row r="152" ht="15.75" customHeight="1">
      <c r="B152" s="35"/>
      <c r="D152" s="36"/>
    </row>
    <row r="153" ht="15.75" customHeight="1">
      <c r="B153" s="35"/>
      <c r="D153" s="36"/>
    </row>
    <row r="154" ht="15.75" customHeight="1">
      <c r="B154" s="35"/>
      <c r="D154" s="36"/>
    </row>
    <row r="155" ht="15.75" customHeight="1">
      <c r="B155" s="35"/>
      <c r="D155" s="36"/>
    </row>
    <row r="156" ht="15.75" customHeight="1">
      <c r="B156" s="35"/>
      <c r="D156" s="36"/>
    </row>
    <row r="157" ht="15.75" customHeight="1">
      <c r="B157" s="35"/>
      <c r="D157" s="36"/>
    </row>
    <row r="158" ht="15.75" customHeight="1">
      <c r="B158" s="35"/>
      <c r="D158" s="36"/>
    </row>
    <row r="159" ht="15.75" customHeight="1">
      <c r="B159" s="35"/>
      <c r="D159" s="36"/>
    </row>
    <row r="160" ht="15.75" customHeight="1">
      <c r="B160" s="35"/>
      <c r="D160" s="36"/>
    </row>
    <row r="161" ht="15.75" customHeight="1">
      <c r="B161" s="35"/>
      <c r="D161" s="36"/>
    </row>
    <row r="162" ht="15.75" customHeight="1">
      <c r="B162" s="35"/>
      <c r="D162" s="36"/>
    </row>
    <row r="163" ht="15.75" customHeight="1">
      <c r="B163" s="35"/>
      <c r="D163" s="36"/>
    </row>
    <row r="164" ht="15.75" customHeight="1">
      <c r="B164" s="35"/>
      <c r="D164" s="36"/>
    </row>
    <row r="165" ht="15.75" customHeight="1">
      <c r="B165" s="35"/>
      <c r="D165" s="36"/>
    </row>
    <row r="166" ht="15.75" customHeight="1">
      <c r="B166" s="35"/>
      <c r="D166" s="36"/>
    </row>
    <row r="167" ht="15.75" customHeight="1">
      <c r="B167" s="35"/>
      <c r="D167" s="36"/>
    </row>
    <row r="168" ht="15.75" customHeight="1">
      <c r="B168" s="35"/>
      <c r="D168" s="36"/>
    </row>
    <row r="169" ht="15.75" customHeight="1">
      <c r="B169" s="35"/>
      <c r="D169" s="36"/>
    </row>
    <row r="170" ht="15.75" customHeight="1">
      <c r="B170" s="35"/>
      <c r="D170" s="36"/>
    </row>
    <row r="171" ht="15.75" customHeight="1">
      <c r="B171" s="35"/>
      <c r="D171" s="36"/>
    </row>
    <row r="172" ht="15.75" customHeight="1">
      <c r="B172" s="35"/>
      <c r="D172" s="36"/>
    </row>
    <row r="173" ht="15.75" customHeight="1">
      <c r="B173" s="35"/>
      <c r="D173" s="36"/>
    </row>
    <row r="174" ht="15.75" customHeight="1">
      <c r="B174" s="35"/>
      <c r="D174" s="36"/>
    </row>
    <row r="175" ht="15.75" customHeight="1">
      <c r="B175" s="35"/>
      <c r="D175" s="36"/>
    </row>
    <row r="176" ht="15.75" customHeight="1">
      <c r="B176" s="35"/>
      <c r="D176" s="36"/>
    </row>
    <row r="177" ht="15.75" customHeight="1">
      <c r="B177" s="35"/>
      <c r="D177" s="36"/>
    </row>
    <row r="178" ht="15.75" customHeight="1">
      <c r="B178" s="35"/>
      <c r="D178" s="36"/>
    </row>
    <row r="179" ht="15.75" customHeight="1">
      <c r="B179" s="35"/>
      <c r="D179" s="36"/>
    </row>
    <row r="180" ht="15.75" customHeight="1">
      <c r="B180" s="35"/>
      <c r="D180" s="36"/>
    </row>
    <row r="181" ht="15.75" customHeight="1">
      <c r="B181" s="35"/>
      <c r="D181" s="36"/>
    </row>
    <row r="182" ht="15.75" customHeight="1">
      <c r="B182" s="35"/>
      <c r="D182" s="36"/>
    </row>
    <row r="183" ht="15.75" customHeight="1">
      <c r="B183" s="35"/>
      <c r="D183" s="36"/>
    </row>
    <row r="184" ht="15.75" customHeight="1">
      <c r="B184" s="35"/>
      <c r="D184" s="36"/>
    </row>
    <row r="185" ht="15.75" customHeight="1">
      <c r="B185" s="35"/>
      <c r="D185" s="36"/>
    </row>
    <row r="186" ht="15.75" customHeight="1">
      <c r="B186" s="35"/>
      <c r="D186" s="36"/>
    </row>
    <row r="187" ht="15.75" customHeight="1">
      <c r="B187" s="35"/>
      <c r="D187" s="36"/>
    </row>
    <row r="188" ht="15.75" customHeight="1">
      <c r="B188" s="35"/>
      <c r="D188" s="36"/>
    </row>
    <row r="189" ht="15.75" customHeight="1">
      <c r="B189" s="35"/>
      <c r="D189" s="36"/>
    </row>
    <row r="190" ht="15.75" customHeight="1">
      <c r="B190" s="35"/>
      <c r="D190" s="36"/>
    </row>
    <row r="191" ht="15.75" customHeight="1">
      <c r="B191" s="35"/>
      <c r="D191" s="36"/>
    </row>
    <row r="192" ht="15.75" customHeight="1">
      <c r="B192" s="35"/>
      <c r="D192" s="36"/>
    </row>
    <row r="193" ht="15.75" customHeight="1">
      <c r="B193" s="35"/>
      <c r="D193" s="36"/>
    </row>
    <row r="194" ht="15.75" customHeight="1">
      <c r="B194" s="35"/>
      <c r="D194" s="36"/>
    </row>
    <row r="195" ht="15.75" customHeight="1">
      <c r="B195" s="35"/>
      <c r="D195" s="36"/>
    </row>
    <row r="196" ht="15.75" customHeight="1">
      <c r="B196" s="35"/>
      <c r="D196" s="36"/>
    </row>
    <row r="197" ht="15.75" customHeight="1">
      <c r="B197" s="35"/>
      <c r="D197" s="36"/>
    </row>
    <row r="198" ht="15.75" customHeight="1">
      <c r="B198" s="35"/>
      <c r="D198" s="36"/>
    </row>
    <row r="199" ht="15.75" customHeight="1">
      <c r="B199" s="35"/>
      <c r="D199" s="36"/>
    </row>
    <row r="200" ht="15.75" customHeight="1">
      <c r="B200" s="35"/>
      <c r="D200" s="36"/>
    </row>
    <row r="201" ht="15.75" customHeight="1">
      <c r="B201" s="35"/>
      <c r="D201" s="36"/>
    </row>
    <row r="202" ht="15.75" customHeight="1">
      <c r="B202" s="35"/>
      <c r="D202" s="36"/>
    </row>
    <row r="203" ht="15.75" customHeight="1">
      <c r="B203" s="35"/>
      <c r="D203" s="36"/>
    </row>
    <row r="204" ht="15.75" customHeight="1">
      <c r="B204" s="35"/>
      <c r="D204" s="36"/>
    </row>
    <row r="205" ht="15.75" customHeight="1">
      <c r="B205" s="35"/>
      <c r="D205" s="36"/>
    </row>
    <row r="206" ht="15.75" customHeight="1">
      <c r="B206" s="35"/>
      <c r="D206" s="36"/>
    </row>
    <row r="207" ht="15.75" customHeight="1">
      <c r="B207" s="35"/>
      <c r="D207" s="36"/>
    </row>
    <row r="208" ht="15.75" customHeight="1">
      <c r="B208" s="35"/>
      <c r="D208" s="36"/>
    </row>
    <row r="209" ht="15.75" customHeight="1">
      <c r="B209" s="35"/>
      <c r="D209" s="36"/>
    </row>
    <row r="210" ht="15.75" customHeight="1">
      <c r="B210" s="35"/>
      <c r="D210" s="36"/>
    </row>
    <row r="211" ht="15.75" customHeight="1">
      <c r="B211" s="35"/>
      <c r="D211" s="36"/>
    </row>
    <row r="212" ht="15.75" customHeight="1">
      <c r="B212" s="35"/>
      <c r="D212" s="36"/>
    </row>
    <row r="213" ht="15.75" customHeight="1">
      <c r="B213" s="35"/>
      <c r="D213" s="36"/>
    </row>
    <row r="214" ht="15.75" customHeight="1">
      <c r="B214" s="35"/>
      <c r="D214" s="36"/>
    </row>
    <row r="215" ht="15.75" customHeight="1">
      <c r="B215" s="35"/>
      <c r="D215" s="36"/>
    </row>
    <row r="216" ht="15.75" customHeight="1">
      <c r="B216" s="35"/>
      <c r="D216" s="36"/>
    </row>
    <row r="217" ht="15.75" customHeight="1">
      <c r="B217" s="35"/>
      <c r="D217" s="36"/>
    </row>
    <row r="218" ht="15.75" customHeight="1">
      <c r="B218" s="35"/>
      <c r="D218" s="36"/>
    </row>
    <row r="219" ht="15.75" customHeight="1">
      <c r="B219" s="35"/>
      <c r="D219" s="36"/>
    </row>
    <row r="220" ht="15.75" customHeight="1">
      <c r="B220" s="35"/>
      <c r="D220" s="36"/>
    </row>
    <row r="221" ht="15.75" customHeight="1">
      <c r="B221" s="35"/>
      <c r="D221" s="36"/>
    </row>
    <row r="222" ht="15.75" customHeight="1">
      <c r="B222" s="35"/>
      <c r="D222" s="36"/>
    </row>
    <row r="223" ht="15.75" customHeight="1">
      <c r="B223" s="35"/>
      <c r="D223" s="36"/>
    </row>
    <row r="224" ht="15.75" customHeight="1">
      <c r="B224" s="35"/>
      <c r="D224" s="36"/>
    </row>
    <row r="225" ht="15.75" customHeight="1">
      <c r="B225" s="35"/>
      <c r="D225" s="36"/>
    </row>
    <row r="226" ht="15.75" customHeight="1">
      <c r="B226" s="35"/>
      <c r="D226" s="36"/>
    </row>
    <row r="227" ht="15.75" customHeight="1">
      <c r="B227" s="35"/>
      <c r="D227" s="36"/>
    </row>
    <row r="228" ht="15.75" customHeight="1">
      <c r="B228" s="35"/>
      <c r="D228" s="36"/>
    </row>
    <row r="229" ht="15.75" customHeight="1">
      <c r="B229" s="35"/>
      <c r="D229" s="36"/>
    </row>
    <row r="230" ht="15.75" customHeight="1">
      <c r="B230" s="35"/>
      <c r="D230" s="36"/>
    </row>
    <row r="231" ht="15.75" customHeight="1">
      <c r="B231" s="35"/>
      <c r="D231" s="36"/>
    </row>
    <row r="232" ht="15.75" customHeight="1">
      <c r="B232" s="35"/>
      <c r="D232" s="36"/>
    </row>
    <row r="233" ht="15.75" customHeight="1">
      <c r="B233" s="35"/>
      <c r="D233" s="36"/>
    </row>
    <row r="234" ht="15.75" customHeight="1">
      <c r="B234" s="35"/>
      <c r="D234" s="36"/>
    </row>
    <row r="235" ht="15.75" customHeight="1">
      <c r="B235" s="35"/>
      <c r="D235" s="36"/>
    </row>
    <row r="236" ht="15.75" customHeight="1">
      <c r="B236" s="35"/>
      <c r="D236" s="36"/>
    </row>
    <row r="237" ht="15.75" customHeight="1">
      <c r="B237" s="35"/>
      <c r="D237" s="36"/>
    </row>
    <row r="238" ht="15.75" customHeight="1">
      <c r="B238" s="35"/>
      <c r="D238" s="36"/>
    </row>
    <row r="239" ht="15.75" customHeight="1">
      <c r="B239" s="35"/>
      <c r="D239" s="36"/>
    </row>
    <row r="240" ht="15.75" customHeight="1">
      <c r="B240" s="35"/>
      <c r="D240" s="36"/>
    </row>
    <row r="241" ht="15.75" customHeight="1">
      <c r="B241" s="35"/>
      <c r="D241" s="36"/>
    </row>
    <row r="242" ht="15.75" customHeight="1">
      <c r="B242" s="35"/>
      <c r="D242" s="36"/>
    </row>
    <row r="243" ht="15.75" customHeight="1">
      <c r="B243" s="35"/>
      <c r="D243" s="36"/>
    </row>
    <row r="244" ht="15.75" customHeight="1">
      <c r="B244" s="35"/>
      <c r="D244" s="36"/>
    </row>
    <row r="245" ht="15.75" customHeight="1">
      <c r="B245" s="35"/>
      <c r="D245" s="36"/>
    </row>
    <row r="246" ht="15.75" customHeight="1">
      <c r="B246" s="35"/>
      <c r="D246" s="36"/>
    </row>
    <row r="247" ht="15.75" customHeight="1">
      <c r="B247" s="35"/>
      <c r="D247" s="36"/>
    </row>
    <row r="248" ht="15.75" customHeight="1">
      <c r="B248" s="35"/>
      <c r="D248" s="36"/>
    </row>
    <row r="249" ht="15.75" customHeight="1">
      <c r="B249" s="35"/>
      <c r="D249" s="36"/>
    </row>
    <row r="250" ht="15.75" customHeight="1">
      <c r="B250" s="35"/>
      <c r="D250" s="36"/>
    </row>
    <row r="251" ht="15.75" customHeight="1">
      <c r="B251" s="35"/>
      <c r="D251" s="36"/>
    </row>
    <row r="252" ht="15.75" customHeight="1">
      <c r="B252" s="35"/>
      <c r="D252" s="36"/>
    </row>
    <row r="253" ht="15.75" customHeight="1">
      <c r="B253" s="35"/>
      <c r="D253" s="36"/>
    </row>
    <row r="254" ht="15.75" customHeight="1">
      <c r="B254" s="35"/>
      <c r="D254" s="36"/>
    </row>
    <row r="255" ht="15.75" customHeight="1">
      <c r="B255" s="35"/>
      <c r="D255" s="36"/>
    </row>
    <row r="256" ht="15.75" customHeight="1">
      <c r="B256" s="35"/>
      <c r="D256" s="36"/>
    </row>
    <row r="257" ht="15.75" customHeight="1">
      <c r="B257" s="35"/>
      <c r="D257" s="36"/>
    </row>
    <row r="258" ht="15.75" customHeight="1">
      <c r="B258" s="35"/>
      <c r="D258" s="36"/>
    </row>
    <row r="259" ht="15.75" customHeight="1">
      <c r="B259" s="35"/>
      <c r="D259" s="36"/>
    </row>
    <row r="260" ht="15.75" customHeight="1">
      <c r="B260" s="35"/>
      <c r="D260" s="36"/>
    </row>
    <row r="261" ht="15.75" customHeight="1">
      <c r="B261" s="35"/>
      <c r="D261" s="36"/>
    </row>
    <row r="262" ht="15.75" customHeight="1">
      <c r="B262" s="35"/>
      <c r="D262" s="36"/>
    </row>
    <row r="263" ht="15.75" customHeight="1">
      <c r="B263" s="35"/>
      <c r="D263" s="36"/>
    </row>
    <row r="264" ht="15.75" customHeight="1">
      <c r="B264" s="35"/>
      <c r="D264" s="36"/>
    </row>
    <row r="265" ht="15.75" customHeight="1">
      <c r="B265" s="35"/>
      <c r="D265" s="36"/>
    </row>
    <row r="266" ht="15.75" customHeight="1">
      <c r="B266" s="35"/>
      <c r="D266" s="36"/>
    </row>
    <row r="267" ht="15.75" customHeight="1">
      <c r="B267" s="35"/>
      <c r="D267" s="36"/>
    </row>
    <row r="268" ht="15.75" customHeight="1">
      <c r="B268" s="35"/>
      <c r="D268" s="36"/>
    </row>
    <row r="269" ht="15.75" customHeight="1">
      <c r="B269" s="35"/>
      <c r="D269" s="36"/>
    </row>
    <row r="270" ht="15.75" customHeight="1">
      <c r="B270" s="35"/>
      <c r="D270" s="36"/>
    </row>
    <row r="271" ht="15.75" customHeight="1">
      <c r="B271" s="35"/>
      <c r="D271" s="36"/>
    </row>
    <row r="272" ht="15.75" customHeight="1">
      <c r="B272" s="35"/>
      <c r="D272" s="36"/>
    </row>
    <row r="273" ht="15.75" customHeight="1">
      <c r="B273" s="35"/>
      <c r="D273" s="36"/>
    </row>
    <row r="274" ht="15.75" customHeight="1">
      <c r="B274" s="35"/>
      <c r="D274" s="36"/>
    </row>
    <row r="275" ht="15.75" customHeight="1">
      <c r="B275" s="35"/>
      <c r="D275" s="36"/>
    </row>
    <row r="276" ht="15.75" customHeight="1">
      <c r="B276" s="35"/>
      <c r="D276" s="36"/>
    </row>
    <row r="277" ht="15.75" customHeight="1">
      <c r="B277" s="35"/>
      <c r="D277" s="36"/>
    </row>
    <row r="278" ht="15.75" customHeight="1">
      <c r="B278" s="35"/>
      <c r="D278" s="36"/>
    </row>
    <row r="279" ht="15.75" customHeight="1">
      <c r="B279" s="35"/>
      <c r="D279" s="36"/>
    </row>
    <row r="280" ht="15.75" customHeight="1">
      <c r="B280" s="35"/>
      <c r="D280" s="36"/>
    </row>
    <row r="281" ht="15.75" customHeight="1">
      <c r="B281" s="35"/>
      <c r="D281" s="36"/>
    </row>
    <row r="282" ht="15.75" customHeight="1">
      <c r="B282" s="35"/>
      <c r="D282" s="36"/>
    </row>
    <row r="283" ht="15.75" customHeight="1">
      <c r="B283" s="35"/>
      <c r="D283" s="36"/>
    </row>
    <row r="284" ht="15.75" customHeight="1">
      <c r="B284" s="35"/>
      <c r="D284" s="36"/>
    </row>
    <row r="285" ht="15.75" customHeight="1">
      <c r="B285" s="35"/>
      <c r="D285" s="36"/>
    </row>
    <row r="286" ht="15.75" customHeight="1">
      <c r="B286" s="35"/>
      <c r="D286" s="36"/>
    </row>
    <row r="287" ht="15.75" customHeight="1">
      <c r="B287" s="35"/>
      <c r="D287" s="36"/>
    </row>
    <row r="288" ht="15.75" customHeight="1">
      <c r="B288" s="35"/>
      <c r="D288" s="36"/>
    </row>
    <row r="289" ht="15.75" customHeight="1">
      <c r="B289" s="35"/>
      <c r="D289" s="36"/>
    </row>
    <row r="290" ht="15.75" customHeight="1">
      <c r="B290" s="35"/>
      <c r="D290" s="36"/>
    </row>
    <row r="291" ht="15.75" customHeight="1">
      <c r="B291" s="35"/>
      <c r="D291" s="36"/>
    </row>
    <row r="292" ht="15.75" customHeight="1">
      <c r="B292" s="35"/>
      <c r="D292" s="36"/>
    </row>
    <row r="293" ht="15.75" customHeight="1">
      <c r="B293" s="35"/>
      <c r="D293" s="36"/>
    </row>
    <row r="294" ht="15.75" customHeight="1">
      <c r="B294" s="35"/>
      <c r="D294" s="36"/>
    </row>
    <row r="295" ht="15.75" customHeight="1">
      <c r="B295" s="35"/>
      <c r="D295" s="36"/>
    </row>
    <row r="296" ht="15.75" customHeight="1">
      <c r="B296" s="35"/>
      <c r="D296" s="36"/>
    </row>
    <row r="297" ht="15.75" customHeight="1">
      <c r="B297" s="35"/>
      <c r="D297" s="36"/>
    </row>
    <row r="298" ht="15.75" customHeight="1">
      <c r="B298" s="35"/>
      <c r="D298" s="36"/>
    </row>
    <row r="299" ht="15.75" customHeight="1">
      <c r="B299" s="35"/>
      <c r="D299" s="36"/>
    </row>
    <row r="300" ht="15.75" customHeight="1">
      <c r="B300" s="35"/>
      <c r="D300" s="36"/>
    </row>
    <row r="301" ht="15.75" customHeight="1">
      <c r="B301" s="35"/>
      <c r="D301" s="36"/>
    </row>
    <row r="302" ht="15.75" customHeight="1">
      <c r="B302" s="35"/>
      <c r="D302" s="36"/>
    </row>
    <row r="303" ht="15.75" customHeight="1">
      <c r="B303" s="35"/>
      <c r="D303" s="36"/>
    </row>
    <row r="304" ht="15.75" customHeight="1">
      <c r="B304" s="35"/>
      <c r="D304" s="36"/>
    </row>
    <row r="305" ht="15.75" customHeight="1">
      <c r="B305" s="35"/>
      <c r="D305" s="36"/>
    </row>
    <row r="306" ht="15.75" customHeight="1">
      <c r="B306" s="35"/>
      <c r="D306" s="36"/>
    </row>
    <row r="307" ht="15.75" customHeight="1">
      <c r="B307" s="35"/>
      <c r="D307" s="36"/>
    </row>
    <row r="308" ht="15.75" customHeight="1">
      <c r="B308" s="35"/>
      <c r="D308" s="36"/>
    </row>
    <row r="309" ht="15.75" customHeight="1">
      <c r="B309" s="35"/>
      <c r="D309" s="36"/>
    </row>
    <row r="310" ht="15.75" customHeight="1">
      <c r="B310" s="35"/>
      <c r="D310" s="36"/>
    </row>
    <row r="311" ht="15.75" customHeight="1">
      <c r="B311" s="35"/>
      <c r="D311" s="36"/>
    </row>
    <row r="312" ht="15.75" customHeight="1">
      <c r="B312" s="35"/>
      <c r="D312" s="36"/>
    </row>
    <row r="313" ht="15.75" customHeight="1">
      <c r="B313" s="35"/>
      <c r="D313" s="36"/>
    </row>
    <row r="314" ht="15.75" customHeight="1">
      <c r="B314" s="35"/>
      <c r="D314" s="36"/>
    </row>
    <row r="315" ht="15.75" customHeight="1">
      <c r="B315" s="35"/>
      <c r="D315" s="36"/>
    </row>
    <row r="316" ht="15.75" customHeight="1">
      <c r="B316" s="35"/>
      <c r="D316" s="36"/>
    </row>
    <row r="317" ht="15.75" customHeight="1">
      <c r="B317" s="35"/>
      <c r="D317" s="36"/>
    </row>
    <row r="318" ht="15.75" customHeight="1">
      <c r="B318" s="35"/>
      <c r="D318" s="36"/>
    </row>
    <row r="319" ht="15.75" customHeight="1">
      <c r="B319" s="35"/>
      <c r="D319" s="36"/>
    </row>
    <row r="320" ht="15.75" customHeight="1">
      <c r="B320" s="35"/>
      <c r="D320" s="36"/>
    </row>
    <row r="321" ht="15.75" customHeight="1">
      <c r="B321" s="35"/>
      <c r="D321" s="36"/>
    </row>
    <row r="322" ht="15.75" customHeight="1">
      <c r="B322" s="35"/>
      <c r="D322" s="36"/>
    </row>
    <row r="323" ht="15.75" customHeight="1">
      <c r="B323" s="35"/>
      <c r="D323" s="36"/>
    </row>
    <row r="324" ht="15.75" customHeight="1">
      <c r="B324" s="35"/>
      <c r="D324" s="36"/>
    </row>
    <row r="325" ht="15.75" customHeight="1">
      <c r="B325" s="35"/>
      <c r="D325" s="36"/>
    </row>
    <row r="326" ht="15.75" customHeight="1">
      <c r="B326" s="35"/>
      <c r="D326" s="36"/>
    </row>
    <row r="327" ht="15.75" customHeight="1">
      <c r="B327" s="35"/>
      <c r="D327" s="36"/>
    </row>
    <row r="328" ht="15.75" customHeight="1">
      <c r="B328" s="35"/>
      <c r="D328" s="36"/>
    </row>
    <row r="329" ht="15.75" customHeight="1">
      <c r="B329" s="35"/>
      <c r="D329" s="36"/>
    </row>
    <row r="330" ht="15.75" customHeight="1">
      <c r="B330" s="35"/>
      <c r="D330" s="36"/>
    </row>
    <row r="331" ht="15.75" customHeight="1">
      <c r="B331" s="35"/>
      <c r="D331" s="36"/>
    </row>
    <row r="332" ht="15.75" customHeight="1">
      <c r="B332" s="35"/>
      <c r="D332" s="36"/>
    </row>
    <row r="333" ht="15.75" customHeight="1">
      <c r="B333" s="35"/>
      <c r="D333" s="36"/>
    </row>
    <row r="334" ht="15.75" customHeight="1">
      <c r="B334" s="35"/>
      <c r="D334" s="36"/>
    </row>
    <row r="335" ht="15.75" customHeight="1">
      <c r="B335" s="35"/>
      <c r="D335" s="36"/>
    </row>
    <row r="336" ht="15.75" customHeight="1">
      <c r="B336" s="35"/>
      <c r="D336" s="36"/>
    </row>
    <row r="337" ht="15.75" customHeight="1">
      <c r="B337" s="35"/>
      <c r="D337" s="36"/>
    </row>
    <row r="338" ht="15.75" customHeight="1">
      <c r="B338" s="35"/>
      <c r="D338" s="36"/>
    </row>
    <row r="339" ht="15.75" customHeight="1">
      <c r="B339" s="35"/>
      <c r="D339" s="36"/>
    </row>
    <row r="340" ht="15.75" customHeight="1">
      <c r="B340" s="35"/>
      <c r="D340" s="36"/>
    </row>
    <row r="341" ht="15.75" customHeight="1">
      <c r="B341" s="35"/>
      <c r="D341" s="36"/>
    </row>
    <row r="342" ht="15.75" customHeight="1">
      <c r="B342" s="35"/>
      <c r="D342" s="36"/>
    </row>
    <row r="343" ht="15.75" customHeight="1">
      <c r="B343" s="35"/>
      <c r="D343" s="36"/>
    </row>
    <row r="344" ht="15.75" customHeight="1">
      <c r="B344" s="35"/>
      <c r="D344" s="36"/>
    </row>
    <row r="345" ht="15.75" customHeight="1">
      <c r="B345" s="35"/>
      <c r="D345" s="36"/>
    </row>
    <row r="346" ht="15.75" customHeight="1">
      <c r="B346" s="35"/>
      <c r="D346" s="36"/>
    </row>
    <row r="347" ht="15.75" customHeight="1">
      <c r="B347" s="35"/>
      <c r="D347" s="36"/>
    </row>
    <row r="348" ht="15.75" customHeight="1">
      <c r="B348" s="35"/>
      <c r="D348" s="36"/>
    </row>
    <row r="349" ht="15.75" customHeight="1">
      <c r="B349" s="35"/>
      <c r="D349" s="36"/>
    </row>
    <row r="350" ht="15.75" customHeight="1">
      <c r="B350" s="35"/>
      <c r="D350" s="36"/>
    </row>
    <row r="351" ht="15.75" customHeight="1">
      <c r="B351" s="35"/>
      <c r="D351" s="36"/>
    </row>
    <row r="352" ht="15.75" customHeight="1">
      <c r="B352" s="35"/>
      <c r="D352" s="36"/>
    </row>
    <row r="353" ht="15.75" customHeight="1">
      <c r="B353" s="35"/>
      <c r="D353" s="36"/>
    </row>
    <row r="354" ht="15.75" customHeight="1">
      <c r="B354" s="35"/>
      <c r="D354" s="36"/>
    </row>
    <row r="355" ht="15.75" customHeight="1">
      <c r="B355" s="35"/>
      <c r="D355" s="36"/>
    </row>
    <row r="356" ht="15.75" customHeight="1">
      <c r="B356" s="35"/>
      <c r="D356" s="36"/>
    </row>
    <row r="357" ht="15.75" customHeight="1">
      <c r="B357" s="35"/>
      <c r="D357" s="36"/>
    </row>
    <row r="358" ht="15.75" customHeight="1">
      <c r="B358" s="35"/>
      <c r="D358" s="36"/>
    </row>
    <row r="359" ht="15.75" customHeight="1">
      <c r="B359" s="35"/>
      <c r="D359" s="36"/>
    </row>
    <row r="360" ht="15.75" customHeight="1">
      <c r="B360" s="35"/>
      <c r="D360" s="36"/>
    </row>
    <row r="361" ht="15.75" customHeight="1">
      <c r="B361" s="35"/>
      <c r="D361" s="36"/>
    </row>
    <row r="362" ht="15.75" customHeight="1">
      <c r="B362" s="35"/>
      <c r="D362" s="36"/>
    </row>
    <row r="363" ht="15.75" customHeight="1">
      <c r="B363" s="35"/>
      <c r="D363" s="36"/>
    </row>
    <row r="364" ht="15.75" customHeight="1">
      <c r="B364" s="35"/>
      <c r="D364" s="36"/>
    </row>
    <row r="365" ht="15.75" customHeight="1">
      <c r="B365" s="35"/>
      <c r="D365" s="36"/>
    </row>
    <row r="366" ht="15.75" customHeight="1">
      <c r="B366" s="35"/>
      <c r="D366" s="36"/>
    </row>
    <row r="367" ht="15.75" customHeight="1">
      <c r="B367" s="35"/>
      <c r="D367" s="36"/>
    </row>
    <row r="368" ht="15.75" customHeight="1">
      <c r="B368" s="35"/>
      <c r="D368" s="36"/>
    </row>
    <row r="369" ht="15.75" customHeight="1">
      <c r="B369" s="35"/>
      <c r="D369" s="36"/>
    </row>
    <row r="370" ht="15.75" customHeight="1">
      <c r="B370" s="35"/>
      <c r="D370" s="36"/>
    </row>
    <row r="371" ht="15.75" customHeight="1">
      <c r="B371" s="35"/>
      <c r="D371" s="36"/>
    </row>
    <row r="372" ht="15.75" customHeight="1">
      <c r="B372" s="35"/>
      <c r="D372" s="36"/>
    </row>
    <row r="373" ht="15.75" customHeight="1">
      <c r="B373" s="35"/>
      <c r="D373" s="36"/>
    </row>
    <row r="374" ht="15.75" customHeight="1">
      <c r="B374" s="35"/>
      <c r="D374" s="36"/>
    </row>
    <row r="375" ht="15.75" customHeight="1">
      <c r="B375" s="35"/>
      <c r="D375" s="36"/>
    </row>
    <row r="376" ht="15.75" customHeight="1">
      <c r="B376" s="35"/>
      <c r="D376" s="36"/>
    </row>
    <row r="377" ht="15.75" customHeight="1">
      <c r="B377" s="35"/>
      <c r="D377" s="36"/>
    </row>
    <row r="378" ht="15.75" customHeight="1">
      <c r="B378" s="35"/>
      <c r="D378" s="36"/>
    </row>
    <row r="379" ht="15.75" customHeight="1">
      <c r="B379" s="35"/>
      <c r="D379" s="36"/>
    </row>
    <row r="380" ht="15.75" customHeight="1">
      <c r="B380" s="35"/>
      <c r="D380" s="36"/>
    </row>
    <row r="381" ht="15.75" customHeight="1">
      <c r="B381" s="35"/>
      <c r="D381" s="36"/>
    </row>
    <row r="382" ht="15.75" customHeight="1">
      <c r="B382" s="35"/>
      <c r="D382" s="36"/>
    </row>
    <row r="383" ht="15.75" customHeight="1">
      <c r="B383" s="35"/>
      <c r="D383" s="36"/>
    </row>
    <row r="384" ht="15.75" customHeight="1">
      <c r="B384" s="35"/>
      <c r="D384" s="36"/>
    </row>
    <row r="385" ht="15.75" customHeight="1">
      <c r="B385" s="35"/>
      <c r="D385" s="36"/>
    </row>
    <row r="386" ht="15.75" customHeight="1">
      <c r="B386" s="35"/>
      <c r="D386" s="36"/>
    </row>
    <row r="387" ht="15.75" customHeight="1">
      <c r="B387" s="35"/>
      <c r="D387" s="36"/>
    </row>
    <row r="388" ht="15.75" customHeight="1">
      <c r="B388" s="35"/>
      <c r="D388" s="36"/>
    </row>
    <row r="389" ht="15.75" customHeight="1">
      <c r="B389" s="35"/>
      <c r="D389" s="36"/>
    </row>
    <row r="390" ht="15.75" customHeight="1">
      <c r="B390" s="35"/>
      <c r="D390" s="36"/>
    </row>
    <row r="391" ht="15.75" customHeight="1">
      <c r="B391" s="35"/>
      <c r="D391" s="36"/>
    </row>
    <row r="392" ht="15.75" customHeight="1">
      <c r="B392" s="35"/>
      <c r="D392" s="36"/>
    </row>
    <row r="393" ht="15.75" customHeight="1">
      <c r="B393" s="35"/>
      <c r="D393" s="36"/>
    </row>
    <row r="394" ht="15.75" customHeight="1">
      <c r="B394" s="35"/>
      <c r="D394" s="36"/>
    </row>
    <row r="395" ht="15.75" customHeight="1">
      <c r="B395" s="35"/>
      <c r="D395" s="36"/>
    </row>
    <row r="396" ht="15.75" customHeight="1">
      <c r="B396" s="35"/>
      <c r="D396" s="36"/>
    </row>
    <row r="397" ht="15.75" customHeight="1">
      <c r="B397" s="35"/>
      <c r="D397" s="36"/>
    </row>
    <row r="398" ht="15.75" customHeight="1">
      <c r="B398" s="35"/>
      <c r="D398" s="36"/>
    </row>
    <row r="399" ht="15.75" customHeight="1">
      <c r="B399" s="35"/>
      <c r="D399" s="36"/>
    </row>
    <row r="400" ht="15.75" customHeight="1">
      <c r="B400" s="35"/>
      <c r="D400" s="36"/>
    </row>
    <row r="401" ht="15.75" customHeight="1">
      <c r="B401" s="35"/>
      <c r="D401" s="36"/>
    </row>
    <row r="402" ht="15.75" customHeight="1">
      <c r="B402" s="35"/>
      <c r="D402" s="36"/>
    </row>
    <row r="403" ht="15.75" customHeight="1">
      <c r="B403" s="35"/>
      <c r="D403" s="36"/>
    </row>
    <row r="404" ht="15.75" customHeight="1">
      <c r="B404" s="35"/>
      <c r="D404" s="36"/>
    </row>
    <row r="405" ht="15.75" customHeight="1">
      <c r="B405" s="35"/>
      <c r="D405" s="36"/>
    </row>
    <row r="406" ht="15.75" customHeight="1">
      <c r="B406" s="35"/>
      <c r="D406" s="36"/>
    </row>
    <row r="407" ht="15.75" customHeight="1">
      <c r="B407" s="35"/>
      <c r="D407" s="36"/>
    </row>
    <row r="408" ht="15.75" customHeight="1">
      <c r="B408" s="35"/>
      <c r="D408" s="36"/>
    </row>
    <row r="409" ht="15.75" customHeight="1">
      <c r="B409" s="35"/>
      <c r="D409" s="36"/>
    </row>
    <row r="410" ht="15.75" customHeight="1">
      <c r="B410" s="35"/>
      <c r="D410" s="36"/>
    </row>
    <row r="411" ht="15.75" customHeight="1">
      <c r="B411" s="35"/>
      <c r="D411" s="36"/>
    </row>
    <row r="412" ht="15.75" customHeight="1">
      <c r="B412" s="35"/>
      <c r="D412" s="36"/>
    </row>
    <row r="413" ht="15.75" customHeight="1">
      <c r="B413" s="35"/>
      <c r="D413" s="36"/>
    </row>
    <row r="414" ht="15.75" customHeight="1">
      <c r="B414" s="35"/>
      <c r="D414" s="36"/>
    </row>
    <row r="415" ht="15.75" customHeight="1">
      <c r="B415" s="35"/>
      <c r="D415" s="36"/>
    </row>
    <row r="416" ht="15.75" customHeight="1">
      <c r="B416" s="35"/>
      <c r="D416" s="36"/>
    </row>
    <row r="417" ht="15.75" customHeight="1">
      <c r="B417" s="35"/>
      <c r="D417" s="36"/>
    </row>
    <row r="418" ht="15.75" customHeight="1">
      <c r="B418" s="35"/>
      <c r="D418" s="36"/>
    </row>
    <row r="419" ht="15.75" customHeight="1">
      <c r="B419" s="35"/>
      <c r="D419" s="36"/>
    </row>
    <row r="420" ht="15.75" customHeight="1">
      <c r="B420" s="35"/>
      <c r="D420" s="36"/>
    </row>
    <row r="421" ht="15.75" customHeight="1">
      <c r="B421" s="35"/>
      <c r="D421" s="36"/>
    </row>
    <row r="422" ht="15.75" customHeight="1">
      <c r="B422" s="35"/>
      <c r="D422" s="36"/>
    </row>
    <row r="423" ht="15.75" customHeight="1">
      <c r="B423" s="35"/>
      <c r="D423" s="36"/>
    </row>
    <row r="424" ht="15.75" customHeight="1">
      <c r="B424" s="35"/>
      <c r="D424" s="36"/>
    </row>
    <row r="425" ht="15.75" customHeight="1">
      <c r="B425" s="35"/>
      <c r="D425" s="36"/>
    </row>
    <row r="426" ht="15.75" customHeight="1">
      <c r="B426" s="35"/>
      <c r="D426" s="36"/>
    </row>
    <row r="427" ht="15.75" customHeight="1">
      <c r="B427" s="35"/>
      <c r="D427" s="36"/>
    </row>
    <row r="428" ht="15.75" customHeight="1">
      <c r="B428" s="35"/>
      <c r="D428" s="36"/>
    </row>
    <row r="429" ht="15.75" customHeight="1">
      <c r="B429" s="35"/>
      <c r="D429" s="36"/>
    </row>
    <row r="430" ht="15.75" customHeight="1">
      <c r="B430" s="35"/>
      <c r="D430" s="36"/>
    </row>
    <row r="431" ht="15.75" customHeight="1">
      <c r="B431" s="35"/>
      <c r="D431" s="36"/>
    </row>
    <row r="432" ht="15.75" customHeight="1">
      <c r="B432" s="35"/>
      <c r="D432" s="36"/>
    </row>
    <row r="433" ht="15.75" customHeight="1">
      <c r="B433" s="35"/>
      <c r="D433" s="36"/>
    </row>
    <row r="434" ht="15.75" customHeight="1">
      <c r="B434" s="35"/>
      <c r="D434" s="36"/>
    </row>
    <row r="435" ht="15.75" customHeight="1">
      <c r="B435" s="35"/>
      <c r="D435" s="36"/>
    </row>
    <row r="436" ht="15.75" customHeight="1">
      <c r="B436" s="35"/>
      <c r="D436" s="36"/>
    </row>
    <row r="437" ht="15.75" customHeight="1">
      <c r="B437" s="35"/>
      <c r="D437" s="36"/>
    </row>
    <row r="438" ht="15.75" customHeight="1">
      <c r="B438" s="35"/>
      <c r="D438" s="36"/>
    </row>
    <row r="439" ht="15.75" customHeight="1">
      <c r="B439" s="35"/>
      <c r="D439" s="36"/>
    </row>
    <row r="440" ht="15.75" customHeight="1">
      <c r="B440" s="35"/>
      <c r="D440" s="36"/>
    </row>
    <row r="441" ht="15.75" customHeight="1">
      <c r="B441" s="35"/>
      <c r="D441" s="36"/>
    </row>
    <row r="442" ht="15.75" customHeight="1">
      <c r="B442" s="35"/>
      <c r="D442" s="36"/>
    </row>
    <row r="443" ht="15.75" customHeight="1">
      <c r="B443" s="35"/>
      <c r="D443" s="36"/>
    </row>
    <row r="444" ht="15.75" customHeight="1">
      <c r="B444" s="35"/>
      <c r="D444" s="36"/>
    </row>
    <row r="445" ht="15.75" customHeight="1">
      <c r="B445" s="35"/>
      <c r="D445" s="36"/>
    </row>
    <row r="446" ht="15.75" customHeight="1">
      <c r="B446" s="35"/>
      <c r="D446" s="36"/>
    </row>
    <row r="447" ht="15.75" customHeight="1">
      <c r="B447" s="35"/>
      <c r="D447" s="36"/>
    </row>
    <row r="448" ht="15.75" customHeight="1">
      <c r="B448" s="35"/>
      <c r="D448" s="36"/>
    </row>
    <row r="449" ht="15.75" customHeight="1">
      <c r="B449" s="35"/>
      <c r="D449" s="36"/>
    </row>
    <row r="450" ht="15.75" customHeight="1">
      <c r="B450" s="35"/>
      <c r="D450" s="36"/>
    </row>
    <row r="451" ht="15.75" customHeight="1">
      <c r="B451" s="35"/>
      <c r="D451" s="36"/>
    </row>
    <row r="452" ht="15.75" customHeight="1">
      <c r="B452" s="35"/>
      <c r="D452" s="36"/>
    </row>
    <row r="453" ht="15.75" customHeight="1">
      <c r="B453" s="35"/>
      <c r="D453" s="36"/>
    </row>
    <row r="454" ht="15.75" customHeight="1">
      <c r="B454" s="35"/>
      <c r="D454" s="36"/>
    </row>
    <row r="455" ht="15.75" customHeight="1">
      <c r="B455" s="35"/>
      <c r="D455" s="36"/>
    </row>
    <row r="456" ht="15.75" customHeight="1">
      <c r="B456" s="35"/>
      <c r="D456" s="36"/>
    </row>
    <row r="457" ht="15.75" customHeight="1">
      <c r="B457" s="35"/>
      <c r="D457" s="36"/>
    </row>
    <row r="458" ht="15.75" customHeight="1">
      <c r="B458" s="35"/>
      <c r="D458" s="36"/>
    </row>
    <row r="459" ht="15.75" customHeight="1">
      <c r="B459" s="35"/>
      <c r="D459" s="36"/>
    </row>
    <row r="460" ht="15.75" customHeight="1">
      <c r="B460" s="35"/>
      <c r="D460" s="36"/>
    </row>
    <row r="461" ht="15.75" customHeight="1">
      <c r="B461" s="35"/>
      <c r="D461" s="36"/>
    </row>
    <row r="462" ht="15.75" customHeight="1">
      <c r="B462" s="35"/>
      <c r="D462" s="36"/>
    </row>
    <row r="463" ht="15.75" customHeight="1">
      <c r="B463" s="35"/>
      <c r="D463" s="36"/>
    </row>
    <row r="464" ht="15.75" customHeight="1">
      <c r="B464" s="35"/>
      <c r="D464" s="36"/>
    </row>
    <row r="465" ht="15.75" customHeight="1">
      <c r="B465" s="35"/>
      <c r="D465" s="36"/>
    </row>
    <row r="466" ht="15.75" customHeight="1">
      <c r="B466" s="35"/>
      <c r="D466" s="36"/>
    </row>
    <row r="467" ht="15.75" customHeight="1">
      <c r="B467" s="35"/>
      <c r="D467" s="36"/>
    </row>
    <row r="468" ht="15.75" customHeight="1">
      <c r="B468" s="35"/>
      <c r="D468" s="36"/>
    </row>
    <row r="469" ht="15.75" customHeight="1">
      <c r="B469" s="35"/>
      <c r="D469" s="36"/>
    </row>
    <row r="470" ht="15.75" customHeight="1">
      <c r="B470" s="35"/>
      <c r="D470" s="36"/>
    </row>
    <row r="471" ht="15.75" customHeight="1">
      <c r="B471" s="35"/>
      <c r="D471" s="36"/>
    </row>
    <row r="472" ht="15.75" customHeight="1">
      <c r="B472" s="35"/>
      <c r="D472" s="36"/>
    </row>
    <row r="473" ht="15.75" customHeight="1">
      <c r="B473" s="35"/>
      <c r="D473" s="36"/>
    </row>
    <row r="474" ht="15.75" customHeight="1">
      <c r="B474" s="35"/>
      <c r="D474" s="36"/>
    </row>
    <row r="475" ht="15.75" customHeight="1">
      <c r="B475" s="35"/>
      <c r="D475" s="36"/>
    </row>
    <row r="476" ht="15.75" customHeight="1">
      <c r="B476" s="35"/>
      <c r="D476" s="36"/>
    </row>
    <row r="477" ht="15.75" customHeight="1">
      <c r="B477" s="35"/>
      <c r="D477" s="36"/>
    </row>
    <row r="478" ht="15.75" customHeight="1">
      <c r="B478" s="35"/>
      <c r="D478" s="36"/>
    </row>
    <row r="479" ht="15.75" customHeight="1">
      <c r="B479" s="35"/>
      <c r="D479" s="36"/>
    </row>
    <row r="480" ht="15.75" customHeight="1">
      <c r="B480" s="35"/>
      <c r="D480" s="36"/>
    </row>
    <row r="481" ht="15.75" customHeight="1">
      <c r="B481" s="35"/>
      <c r="D481" s="36"/>
    </row>
    <row r="482" ht="15.75" customHeight="1">
      <c r="B482" s="35"/>
      <c r="D482" s="36"/>
    </row>
    <row r="483" ht="15.75" customHeight="1">
      <c r="B483" s="35"/>
      <c r="D483" s="36"/>
    </row>
    <row r="484" ht="15.75" customHeight="1">
      <c r="B484" s="35"/>
      <c r="D484" s="36"/>
    </row>
    <row r="485" ht="15.75" customHeight="1">
      <c r="B485" s="35"/>
      <c r="D485" s="36"/>
    </row>
    <row r="486" ht="15.75" customHeight="1">
      <c r="B486" s="35"/>
      <c r="D486" s="36"/>
    </row>
    <row r="487" ht="15.75" customHeight="1">
      <c r="B487" s="35"/>
      <c r="D487" s="36"/>
    </row>
    <row r="488" ht="15.75" customHeight="1">
      <c r="B488" s="35"/>
      <c r="D488" s="36"/>
    </row>
    <row r="489" ht="15.75" customHeight="1">
      <c r="B489" s="35"/>
      <c r="D489" s="36"/>
    </row>
    <row r="490" ht="15.75" customHeight="1">
      <c r="B490" s="35"/>
      <c r="D490" s="36"/>
    </row>
    <row r="491" ht="15.75" customHeight="1">
      <c r="B491" s="35"/>
      <c r="D491" s="36"/>
    </row>
    <row r="492" ht="15.75" customHeight="1">
      <c r="B492" s="35"/>
      <c r="D492" s="36"/>
    </row>
    <row r="493" ht="15.75" customHeight="1">
      <c r="B493" s="35"/>
      <c r="D493" s="36"/>
    </row>
    <row r="494" ht="15.75" customHeight="1">
      <c r="B494" s="35"/>
      <c r="D494" s="36"/>
    </row>
    <row r="495" ht="15.75" customHeight="1">
      <c r="B495" s="35"/>
      <c r="D495" s="36"/>
    </row>
    <row r="496" ht="15.75" customHeight="1">
      <c r="B496" s="35"/>
      <c r="D496" s="36"/>
    </row>
    <row r="497" ht="15.75" customHeight="1">
      <c r="B497" s="35"/>
      <c r="D497" s="36"/>
    </row>
    <row r="498" ht="15.75" customHeight="1">
      <c r="B498" s="35"/>
      <c r="D498" s="36"/>
    </row>
    <row r="499" ht="15.75" customHeight="1">
      <c r="B499" s="35"/>
      <c r="D499" s="36"/>
    </row>
    <row r="500" ht="15.75" customHeight="1">
      <c r="B500" s="35"/>
      <c r="D500" s="36"/>
    </row>
    <row r="501" ht="15.75" customHeight="1">
      <c r="B501" s="35"/>
      <c r="D501" s="36"/>
    </row>
    <row r="502" ht="15.75" customHeight="1">
      <c r="B502" s="35"/>
      <c r="D502" s="36"/>
    </row>
    <row r="503" ht="15.75" customHeight="1">
      <c r="B503" s="35"/>
      <c r="D503" s="36"/>
    </row>
    <row r="504" ht="15.75" customHeight="1">
      <c r="B504" s="35"/>
      <c r="D504" s="36"/>
    </row>
    <row r="505" ht="15.75" customHeight="1">
      <c r="B505" s="35"/>
      <c r="D505" s="36"/>
    </row>
    <row r="506" ht="15.75" customHeight="1">
      <c r="B506" s="35"/>
      <c r="D506" s="36"/>
    </row>
    <row r="507" ht="15.75" customHeight="1">
      <c r="B507" s="35"/>
      <c r="D507" s="36"/>
    </row>
    <row r="508" ht="15.75" customHeight="1">
      <c r="B508" s="35"/>
      <c r="D508" s="36"/>
    </row>
    <row r="509" ht="15.75" customHeight="1">
      <c r="B509" s="35"/>
      <c r="D509" s="36"/>
    </row>
    <row r="510" ht="15.75" customHeight="1">
      <c r="B510" s="35"/>
      <c r="D510" s="36"/>
    </row>
    <row r="511" ht="15.75" customHeight="1">
      <c r="B511" s="35"/>
      <c r="D511" s="36"/>
    </row>
    <row r="512" ht="15.75" customHeight="1">
      <c r="B512" s="35"/>
      <c r="D512" s="36"/>
    </row>
    <row r="513" ht="15.75" customHeight="1">
      <c r="B513" s="35"/>
      <c r="D513" s="36"/>
    </row>
    <row r="514" ht="15.75" customHeight="1">
      <c r="B514" s="35"/>
      <c r="D514" s="36"/>
    </row>
    <row r="515" ht="15.75" customHeight="1">
      <c r="B515" s="35"/>
      <c r="D515" s="36"/>
    </row>
    <row r="516" ht="15.75" customHeight="1">
      <c r="B516" s="35"/>
      <c r="D516" s="36"/>
    </row>
    <row r="517" ht="15.75" customHeight="1">
      <c r="B517" s="35"/>
      <c r="D517" s="36"/>
    </row>
    <row r="518" ht="15.75" customHeight="1">
      <c r="B518" s="35"/>
      <c r="D518" s="36"/>
    </row>
    <row r="519" ht="15.75" customHeight="1">
      <c r="B519" s="35"/>
      <c r="D519" s="36"/>
    </row>
    <row r="520" ht="15.75" customHeight="1">
      <c r="B520" s="35"/>
      <c r="D520" s="36"/>
    </row>
    <row r="521" ht="15.75" customHeight="1">
      <c r="B521" s="35"/>
      <c r="D521" s="36"/>
    </row>
    <row r="522" ht="15.75" customHeight="1">
      <c r="B522" s="35"/>
      <c r="D522" s="36"/>
    </row>
    <row r="523" ht="15.75" customHeight="1">
      <c r="B523" s="35"/>
      <c r="D523" s="36"/>
    </row>
    <row r="524" ht="15.75" customHeight="1">
      <c r="B524" s="35"/>
      <c r="D524" s="36"/>
    </row>
    <row r="525" ht="15.75" customHeight="1">
      <c r="B525" s="35"/>
      <c r="D525" s="36"/>
    </row>
    <row r="526" ht="15.75" customHeight="1">
      <c r="B526" s="35"/>
      <c r="D526" s="36"/>
    </row>
    <row r="527" ht="15.75" customHeight="1">
      <c r="B527" s="35"/>
      <c r="D527" s="36"/>
    </row>
    <row r="528" ht="15.75" customHeight="1">
      <c r="B528" s="35"/>
      <c r="D528" s="36"/>
    </row>
    <row r="529" ht="15.75" customHeight="1">
      <c r="B529" s="35"/>
      <c r="D529" s="36"/>
    </row>
    <row r="530" ht="15.75" customHeight="1">
      <c r="B530" s="35"/>
      <c r="D530" s="36"/>
    </row>
    <row r="531" ht="15.75" customHeight="1">
      <c r="B531" s="35"/>
      <c r="D531" s="36"/>
    </row>
    <row r="532" ht="15.75" customHeight="1">
      <c r="B532" s="35"/>
      <c r="D532" s="36"/>
    </row>
    <row r="533" ht="15.75" customHeight="1">
      <c r="B533" s="35"/>
      <c r="D533" s="36"/>
    </row>
    <row r="534" ht="15.75" customHeight="1">
      <c r="B534" s="35"/>
      <c r="D534" s="36"/>
    </row>
    <row r="535" ht="15.75" customHeight="1">
      <c r="B535" s="35"/>
      <c r="D535" s="36"/>
    </row>
    <row r="536" ht="15.75" customHeight="1">
      <c r="B536" s="35"/>
      <c r="D536" s="36"/>
    </row>
    <row r="537" ht="15.75" customHeight="1">
      <c r="B537" s="35"/>
      <c r="D537" s="36"/>
    </row>
    <row r="538" ht="15.75" customHeight="1">
      <c r="B538" s="35"/>
      <c r="D538" s="36"/>
    </row>
    <row r="539" ht="15.75" customHeight="1">
      <c r="B539" s="35"/>
      <c r="D539" s="36"/>
    </row>
    <row r="540" ht="15.75" customHeight="1">
      <c r="B540" s="35"/>
      <c r="D540" s="36"/>
    </row>
    <row r="541" ht="15.75" customHeight="1">
      <c r="B541" s="35"/>
      <c r="D541" s="36"/>
    </row>
    <row r="542" ht="15.75" customHeight="1">
      <c r="B542" s="35"/>
      <c r="D542" s="36"/>
    </row>
    <row r="543" ht="15.75" customHeight="1">
      <c r="B543" s="35"/>
      <c r="D543" s="36"/>
    </row>
    <row r="544" ht="15.75" customHeight="1">
      <c r="B544" s="35"/>
      <c r="D544" s="36"/>
    </row>
    <row r="545" ht="15.75" customHeight="1">
      <c r="B545" s="35"/>
      <c r="D545" s="36"/>
    </row>
    <row r="546" ht="15.75" customHeight="1">
      <c r="B546" s="35"/>
      <c r="D546" s="36"/>
    </row>
    <row r="547" ht="15.75" customHeight="1">
      <c r="B547" s="35"/>
      <c r="D547" s="36"/>
    </row>
    <row r="548" ht="15.75" customHeight="1">
      <c r="B548" s="35"/>
      <c r="D548" s="36"/>
    </row>
    <row r="549" ht="15.75" customHeight="1">
      <c r="B549" s="35"/>
      <c r="D549" s="36"/>
    </row>
    <row r="550" ht="15.75" customHeight="1">
      <c r="B550" s="35"/>
      <c r="D550" s="36"/>
    </row>
    <row r="551" ht="15.75" customHeight="1">
      <c r="B551" s="35"/>
      <c r="D551" s="36"/>
    </row>
    <row r="552" ht="15.75" customHeight="1">
      <c r="B552" s="35"/>
      <c r="D552" s="36"/>
    </row>
    <row r="553" ht="15.75" customHeight="1">
      <c r="B553" s="35"/>
      <c r="D553" s="36"/>
    </row>
    <row r="554" ht="15.75" customHeight="1">
      <c r="B554" s="35"/>
      <c r="D554" s="36"/>
    </row>
    <row r="555" ht="15.75" customHeight="1">
      <c r="B555" s="35"/>
      <c r="D555" s="36"/>
    </row>
    <row r="556" ht="15.75" customHeight="1">
      <c r="B556" s="35"/>
      <c r="D556" s="36"/>
    </row>
    <row r="557" ht="15.75" customHeight="1">
      <c r="B557" s="35"/>
      <c r="D557" s="36"/>
    </row>
    <row r="558" ht="15.75" customHeight="1">
      <c r="B558" s="35"/>
      <c r="D558" s="36"/>
    </row>
    <row r="559" ht="15.75" customHeight="1">
      <c r="B559" s="35"/>
      <c r="D559" s="36"/>
    </row>
    <row r="560" ht="15.75" customHeight="1">
      <c r="B560" s="35"/>
      <c r="D560" s="36"/>
    </row>
    <row r="561" ht="15.75" customHeight="1">
      <c r="B561" s="35"/>
      <c r="D561" s="36"/>
    </row>
    <row r="562" ht="15.75" customHeight="1">
      <c r="B562" s="35"/>
      <c r="D562" s="36"/>
    </row>
    <row r="563" ht="15.75" customHeight="1">
      <c r="B563" s="35"/>
      <c r="D563" s="36"/>
    </row>
    <row r="564" ht="15.75" customHeight="1">
      <c r="B564" s="35"/>
      <c r="D564" s="36"/>
    </row>
    <row r="565" ht="15.75" customHeight="1">
      <c r="B565" s="35"/>
      <c r="D565" s="36"/>
    </row>
    <row r="566" ht="15.75" customHeight="1">
      <c r="B566" s="35"/>
      <c r="D566" s="36"/>
    </row>
    <row r="567" ht="15.75" customHeight="1">
      <c r="B567" s="35"/>
      <c r="D567" s="36"/>
    </row>
    <row r="568" ht="15.75" customHeight="1">
      <c r="B568" s="35"/>
      <c r="D568" s="36"/>
    </row>
    <row r="569" ht="15.75" customHeight="1">
      <c r="B569" s="35"/>
      <c r="D569" s="36"/>
    </row>
    <row r="570" ht="15.75" customHeight="1">
      <c r="B570" s="35"/>
      <c r="D570" s="36"/>
    </row>
    <row r="571" ht="15.75" customHeight="1">
      <c r="B571" s="35"/>
      <c r="D571" s="36"/>
    </row>
    <row r="572" ht="15.75" customHeight="1">
      <c r="B572" s="35"/>
      <c r="D572" s="36"/>
    </row>
    <row r="573" ht="15.75" customHeight="1">
      <c r="B573" s="35"/>
      <c r="D573" s="36"/>
    </row>
    <row r="574" ht="15.75" customHeight="1">
      <c r="B574" s="35"/>
      <c r="D574" s="36"/>
    </row>
    <row r="575" ht="15.75" customHeight="1">
      <c r="B575" s="35"/>
      <c r="D575" s="36"/>
    </row>
    <row r="576" ht="15.75" customHeight="1">
      <c r="B576" s="35"/>
      <c r="D576" s="36"/>
    </row>
    <row r="577" ht="15.75" customHeight="1">
      <c r="B577" s="35"/>
      <c r="D577" s="36"/>
    </row>
    <row r="578" ht="15.75" customHeight="1">
      <c r="B578" s="35"/>
      <c r="D578" s="36"/>
    </row>
    <row r="579" ht="15.75" customHeight="1">
      <c r="B579" s="35"/>
      <c r="D579" s="36"/>
    </row>
    <row r="580" ht="15.75" customHeight="1">
      <c r="B580" s="35"/>
      <c r="D580" s="36"/>
    </row>
    <row r="581" ht="15.75" customHeight="1">
      <c r="B581" s="35"/>
      <c r="D581" s="36"/>
    </row>
    <row r="582" ht="15.75" customHeight="1">
      <c r="B582" s="35"/>
      <c r="D582" s="36"/>
    </row>
    <row r="583" ht="15.75" customHeight="1">
      <c r="B583" s="35"/>
      <c r="D583" s="36"/>
    </row>
    <row r="584" ht="15.75" customHeight="1">
      <c r="B584" s="35"/>
      <c r="D584" s="36"/>
    </row>
    <row r="585" ht="15.75" customHeight="1">
      <c r="B585" s="35"/>
      <c r="D585" s="36"/>
    </row>
    <row r="586" ht="15.75" customHeight="1">
      <c r="B586" s="35"/>
      <c r="D586" s="36"/>
    </row>
    <row r="587" ht="15.75" customHeight="1">
      <c r="B587" s="35"/>
      <c r="D587" s="36"/>
    </row>
    <row r="588" ht="15.75" customHeight="1">
      <c r="B588" s="35"/>
      <c r="D588" s="36"/>
    </row>
    <row r="589" ht="15.75" customHeight="1">
      <c r="B589" s="35"/>
      <c r="D589" s="36"/>
    </row>
    <row r="590" ht="15.75" customHeight="1">
      <c r="B590" s="35"/>
      <c r="D590" s="36"/>
    </row>
    <row r="591" ht="15.75" customHeight="1">
      <c r="B591" s="35"/>
      <c r="D591" s="36"/>
    </row>
    <row r="592" ht="15.75" customHeight="1">
      <c r="B592" s="35"/>
      <c r="D592" s="36"/>
    </row>
    <row r="593" ht="15.75" customHeight="1">
      <c r="B593" s="35"/>
      <c r="D593" s="36"/>
    </row>
    <row r="594" ht="15.75" customHeight="1">
      <c r="B594" s="35"/>
      <c r="D594" s="36"/>
    </row>
    <row r="595" ht="15.75" customHeight="1">
      <c r="B595" s="35"/>
      <c r="D595" s="36"/>
    </row>
    <row r="596" ht="15.75" customHeight="1">
      <c r="B596" s="35"/>
      <c r="D596" s="36"/>
    </row>
    <row r="597" ht="15.75" customHeight="1">
      <c r="B597" s="35"/>
      <c r="D597" s="36"/>
    </row>
    <row r="598" ht="15.75" customHeight="1">
      <c r="B598" s="35"/>
      <c r="D598" s="36"/>
    </row>
    <row r="599" ht="15.75" customHeight="1">
      <c r="B599" s="35"/>
      <c r="D599" s="36"/>
    </row>
    <row r="600" ht="15.75" customHeight="1">
      <c r="B600" s="35"/>
      <c r="D600" s="36"/>
    </row>
    <row r="601" ht="15.75" customHeight="1">
      <c r="B601" s="35"/>
      <c r="D601" s="36"/>
    </row>
    <row r="602" ht="15.75" customHeight="1">
      <c r="B602" s="35"/>
      <c r="D602" s="36"/>
    </row>
    <row r="603" ht="15.75" customHeight="1">
      <c r="B603" s="35"/>
      <c r="D603" s="36"/>
    </row>
    <row r="604" ht="15.75" customHeight="1">
      <c r="B604" s="35"/>
      <c r="D604" s="36"/>
    </row>
    <row r="605" ht="15.75" customHeight="1">
      <c r="B605" s="35"/>
      <c r="D605" s="36"/>
    </row>
    <row r="606" ht="15.75" customHeight="1">
      <c r="B606" s="35"/>
      <c r="D606" s="36"/>
    </row>
    <row r="607" ht="15.75" customHeight="1">
      <c r="B607" s="35"/>
      <c r="D607" s="36"/>
    </row>
    <row r="608" ht="15.75" customHeight="1">
      <c r="B608" s="35"/>
      <c r="D608" s="36"/>
    </row>
    <row r="609" ht="15.75" customHeight="1">
      <c r="B609" s="35"/>
      <c r="D609" s="36"/>
    </row>
    <row r="610" ht="15.75" customHeight="1">
      <c r="B610" s="35"/>
      <c r="D610" s="36"/>
    </row>
    <row r="611" ht="15.75" customHeight="1">
      <c r="B611" s="35"/>
      <c r="D611" s="36"/>
    </row>
    <row r="612" ht="15.75" customHeight="1">
      <c r="B612" s="35"/>
      <c r="D612" s="36"/>
    </row>
    <row r="613" ht="15.75" customHeight="1">
      <c r="B613" s="35"/>
      <c r="D613" s="36"/>
    </row>
    <row r="614" ht="15.75" customHeight="1">
      <c r="B614" s="35"/>
      <c r="D614" s="36"/>
    </row>
    <row r="615" ht="15.75" customHeight="1">
      <c r="B615" s="35"/>
      <c r="D615" s="36"/>
    </row>
    <row r="616" ht="15.75" customHeight="1">
      <c r="B616" s="35"/>
      <c r="D616" s="36"/>
    </row>
    <row r="617" ht="15.75" customHeight="1">
      <c r="B617" s="35"/>
      <c r="D617" s="36"/>
    </row>
    <row r="618" ht="15.75" customHeight="1">
      <c r="B618" s="35"/>
      <c r="D618" s="36"/>
    </row>
    <row r="619" ht="15.75" customHeight="1">
      <c r="B619" s="35"/>
      <c r="D619" s="36"/>
    </row>
    <row r="620" ht="15.75" customHeight="1">
      <c r="B620" s="35"/>
      <c r="D620" s="36"/>
    </row>
    <row r="621" ht="15.75" customHeight="1">
      <c r="B621" s="35"/>
      <c r="D621" s="36"/>
    </row>
    <row r="622" ht="15.75" customHeight="1">
      <c r="B622" s="35"/>
      <c r="D622" s="36"/>
    </row>
    <row r="623" ht="15.75" customHeight="1">
      <c r="B623" s="35"/>
      <c r="D623" s="36"/>
    </row>
    <row r="624" ht="15.75" customHeight="1">
      <c r="B624" s="35"/>
      <c r="D624" s="36"/>
    </row>
    <row r="625" ht="15.75" customHeight="1">
      <c r="B625" s="35"/>
      <c r="D625" s="36"/>
    </row>
    <row r="626" ht="15.75" customHeight="1">
      <c r="B626" s="35"/>
      <c r="D626" s="36"/>
    </row>
    <row r="627" ht="15.75" customHeight="1">
      <c r="B627" s="35"/>
      <c r="D627" s="36"/>
    </row>
    <row r="628" ht="15.75" customHeight="1">
      <c r="B628" s="35"/>
      <c r="D628" s="36"/>
    </row>
    <row r="629" ht="15.75" customHeight="1">
      <c r="B629" s="35"/>
      <c r="D629" s="36"/>
    </row>
    <row r="630" ht="15.75" customHeight="1">
      <c r="B630" s="35"/>
      <c r="D630" s="36"/>
    </row>
    <row r="631" ht="15.75" customHeight="1">
      <c r="B631" s="35"/>
      <c r="D631" s="36"/>
    </row>
    <row r="632" ht="15.75" customHeight="1">
      <c r="B632" s="35"/>
      <c r="D632" s="36"/>
    </row>
    <row r="633" ht="15.75" customHeight="1">
      <c r="B633" s="35"/>
      <c r="D633" s="36"/>
    </row>
    <row r="634" ht="15.75" customHeight="1">
      <c r="B634" s="35"/>
      <c r="D634" s="36"/>
    </row>
    <row r="635" ht="15.75" customHeight="1">
      <c r="B635" s="35"/>
      <c r="D635" s="36"/>
    </row>
    <row r="636" ht="15.75" customHeight="1">
      <c r="B636" s="35"/>
      <c r="D636" s="36"/>
    </row>
    <row r="637" ht="15.75" customHeight="1">
      <c r="B637" s="35"/>
      <c r="D637" s="36"/>
    </row>
    <row r="638" ht="15.75" customHeight="1">
      <c r="B638" s="35"/>
      <c r="D638" s="36"/>
    </row>
    <row r="639" ht="15.75" customHeight="1">
      <c r="B639" s="35"/>
      <c r="D639" s="36"/>
    </row>
    <row r="640" ht="15.75" customHeight="1">
      <c r="B640" s="35"/>
      <c r="D640" s="36"/>
    </row>
    <row r="641" ht="15.75" customHeight="1">
      <c r="B641" s="35"/>
      <c r="D641" s="36"/>
    </row>
    <row r="642" ht="15.75" customHeight="1">
      <c r="B642" s="35"/>
      <c r="D642" s="36"/>
    </row>
    <row r="643" ht="15.75" customHeight="1">
      <c r="B643" s="35"/>
      <c r="D643" s="36"/>
    </row>
    <row r="644" ht="15.75" customHeight="1">
      <c r="B644" s="35"/>
      <c r="D644" s="36"/>
    </row>
    <row r="645" ht="15.75" customHeight="1">
      <c r="B645" s="35"/>
      <c r="D645" s="36"/>
    </row>
    <row r="646" ht="15.75" customHeight="1">
      <c r="B646" s="35"/>
      <c r="D646" s="36"/>
    </row>
    <row r="647" ht="15.75" customHeight="1">
      <c r="B647" s="35"/>
      <c r="D647" s="36"/>
    </row>
    <row r="648" ht="15.75" customHeight="1">
      <c r="B648" s="35"/>
      <c r="D648" s="36"/>
    </row>
    <row r="649" ht="15.75" customHeight="1">
      <c r="B649" s="35"/>
      <c r="D649" s="36"/>
    </row>
    <row r="650" ht="15.75" customHeight="1">
      <c r="B650" s="35"/>
      <c r="D650" s="36"/>
    </row>
    <row r="651" ht="15.75" customHeight="1">
      <c r="B651" s="35"/>
      <c r="D651" s="36"/>
    </row>
    <row r="652" ht="15.75" customHeight="1">
      <c r="B652" s="35"/>
      <c r="D652" s="36"/>
    </row>
    <row r="653" ht="15.75" customHeight="1">
      <c r="B653" s="35"/>
      <c r="D653" s="36"/>
    </row>
    <row r="654" ht="15.75" customHeight="1">
      <c r="B654" s="35"/>
      <c r="D654" s="36"/>
    </row>
    <row r="655" ht="15.75" customHeight="1">
      <c r="B655" s="35"/>
      <c r="D655" s="36"/>
    </row>
    <row r="656" ht="15.75" customHeight="1">
      <c r="B656" s="35"/>
      <c r="D656" s="36"/>
    </row>
    <row r="657" ht="15.75" customHeight="1">
      <c r="B657" s="35"/>
      <c r="D657" s="36"/>
    </row>
    <row r="658" ht="15.75" customHeight="1">
      <c r="B658" s="35"/>
      <c r="D658" s="36"/>
    </row>
    <row r="659" ht="15.75" customHeight="1">
      <c r="B659" s="35"/>
      <c r="D659" s="36"/>
    </row>
    <row r="660" ht="15.75" customHeight="1">
      <c r="B660" s="35"/>
      <c r="D660" s="36"/>
    </row>
    <row r="661" ht="15.75" customHeight="1">
      <c r="B661" s="35"/>
      <c r="D661" s="36"/>
    </row>
    <row r="662" ht="15.75" customHeight="1">
      <c r="B662" s="35"/>
      <c r="D662" s="36"/>
    </row>
    <row r="663" ht="15.75" customHeight="1">
      <c r="B663" s="35"/>
      <c r="D663" s="36"/>
    </row>
    <row r="664" ht="15.75" customHeight="1">
      <c r="B664" s="35"/>
      <c r="D664" s="36"/>
    </row>
    <row r="665" ht="15.75" customHeight="1">
      <c r="B665" s="35"/>
      <c r="D665" s="36"/>
    </row>
    <row r="666" ht="15.75" customHeight="1">
      <c r="B666" s="35"/>
      <c r="D666" s="36"/>
    </row>
    <row r="667" ht="15.75" customHeight="1">
      <c r="B667" s="35"/>
      <c r="D667" s="36"/>
    </row>
    <row r="668" ht="15.75" customHeight="1">
      <c r="B668" s="35"/>
      <c r="D668" s="36"/>
    </row>
    <row r="669" ht="15.75" customHeight="1">
      <c r="B669" s="35"/>
      <c r="D669" s="36"/>
    </row>
    <row r="670" ht="15.75" customHeight="1">
      <c r="B670" s="35"/>
      <c r="D670" s="36"/>
    </row>
    <row r="671" ht="15.75" customHeight="1">
      <c r="B671" s="35"/>
      <c r="D671" s="36"/>
    </row>
    <row r="672" ht="15.75" customHeight="1">
      <c r="B672" s="35"/>
      <c r="D672" s="36"/>
    </row>
    <row r="673" ht="15.75" customHeight="1">
      <c r="B673" s="35"/>
      <c r="D673" s="36"/>
    </row>
    <row r="674" ht="15.75" customHeight="1">
      <c r="B674" s="35"/>
      <c r="D674" s="36"/>
    </row>
    <row r="675" ht="15.75" customHeight="1">
      <c r="B675" s="35"/>
      <c r="D675" s="36"/>
    </row>
    <row r="676" ht="15.75" customHeight="1">
      <c r="B676" s="35"/>
      <c r="D676" s="36"/>
    </row>
    <row r="677" ht="15.75" customHeight="1">
      <c r="B677" s="35"/>
      <c r="D677" s="36"/>
    </row>
    <row r="678" ht="15.75" customHeight="1">
      <c r="B678" s="35"/>
      <c r="D678" s="36"/>
    </row>
    <row r="679" ht="15.75" customHeight="1">
      <c r="B679" s="35"/>
      <c r="D679" s="36"/>
    </row>
    <row r="680" ht="15.75" customHeight="1">
      <c r="B680" s="35"/>
      <c r="D680" s="36"/>
    </row>
    <row r="681" ht="15.75" customHeight="1">
      <c r="B681" s="35"/>
      <c r="D681" s="36"/>
    </row>
    <row r="682" ht="15.75" customHeight="1">
      <c r="B682" s="35"/>
      <c r="D682" s="36"/>
    </row>
    <row r="683" ht="15.75" customHeight="1">
      <c r="B683" s="35"/>
      <c r="D683" s="36"/>
    </row>
    <row r="684" ht="15.75" customHeight="1">
      <c r="B684" s="35"/>
      <c r="D684" s="36"/>
    </row>
    <row r="685" ht="15.75" customHeight="1">
      <c r="B685" s="35"/>
      <c r="D685" s="36"/>
    </row>
    <row r="686" ht="15.75" customHeight="1">
      <c r="B686" s="35"/>
      <c r="D686" s="36"/>
    </row>
    <row r="687" ht="15.75" customHeight="1">
      <c r="B687" s="35"/>
      <c r="D687" s="36"/>
    </row>
    <row r="688" ht="15.75" customHeight="1">
      <c r="B688" s="35"/>
      <c r="D688" s="36"/>
    </row>
    <row r="689" ht="15.75" customHeight="1">
      <c r="B689" s="35"/>
      <c r="D689" s="36"/>
    </row>
    <row r="690" ht="15.75" customHeight="1">
      <c r="B690" s="35"/>
      <c r="D690" s="36"/>
    </row>
    <row r="691" ht="15.75" customHeight="1">
      <c r="B691" s="35"/>
      <c r="D691" s="36"/>
    </row>
    <row r="692" ht="15.75" customHeight="1">
      <c r="B692" s="35"/>
      <c r="D692" s="36"/>
    </row>
    <row r="693" ht="15.75" customHeight="1">
      <c r="B693" s="35"/>
      <c r="D693" s="36"/>
    </row>
    <row r="694" ht="15.75" customHeight="1">
      <c r="B694" s="35"/>
      <c r="D694" s="36"/>
    </row>
    <row r="695" ht="15.75" customHeight="1">
      <c r="B695" s="35"/>
      <c r="D695" s="36"/>
    </row>
    <row r="696" ht="15.75" customHeight="1">
      <c r="B696" s="35"/>
      <c r="D696" s="36"/>
    </row>
    <row r="697" ht="15.75" customHeight="1">
      <c r="B697" s="35"/>
      <c r="D697" s="36"/>
    </row>
    <row r="698" ht="15.75" customHeight="1">
      <c r="B698" s="35"/>
      <c r="D698" s="36"/>
    </row>
    <row r="699" ht="15.75" customHeight="1">
      <c r="B699" s="35"/>
      <c r="D699" s="36"/>
    </row>
    <row r="700" ht="15.75" customHeight="1">
      <c r="B700" s="35"/>
      <c r="D700" s="36"/>
    </row>
    <row r="701" ht="15.75" customHeight="1">
      <c r="B701" s="35"/>
      <c r="D701" s="36"/>
    </row>
    <row r="702" ht="15.75" customHeight="1">
      <c r="B702" s="35"/>
      <c r="D702" s="36"/>
    </row>
    <row r="703" ht="15.75" customHeight="1">
      <c r="B703" s="35"/>
      <c r="D703" s="36"/>
    </row>
    <row r="704" ht="15.75" customHeight="1">
      <c r="B704" s="35"/>
      <c r="D704" s="36"/>
    </row>
    <row r="705" ht="15.75" customHeight="1">
      <c r="B705" s="35"/>
      <c r="D705" s="36"/>
    </row>
    <row r="706" ht="15.75" customHeight="1">
      <c r="B706" s="35"/>
      <c r="D706" s="36"/>
    </row>
    <row r="707" ht="15.75" customHeight="1">
      <c r="B707" s="35"/>
      <c r="D707" s="36"/>
    </row>
    <row r="708" ht="15.75" customHeight="1">
      <c r="B708" s="35"/>
      <c r="D708" s="36"/>
    </row>
    <row r="709" ht="15.75" customHeight="1">
      <c r="B709" s="35"/>
      <c r="D709" s="36"/>
    </row>
    <row r="710" ht="15.75" customHeight="1">
      <c r="B710" s="35"/>
      <c r="D710" s="36"/>
    </row>
    <row r="711" ht="15.75" customHeight="1">
      <c r="B711" s="35"/>
      <c r="D711" s="36"/>
    </row>
    <row r="712" ht="15.75" customHeight="1">
      <c r="B712" s="35"/>
      <c r="D712" s="36"/>
    </row>
    <row r="713" ht="15.75" customHeight="1">
      <c r="B713" s="35"/>
      <c r="D713" s="36"/>
    </row>
    <row r="714" ht="15.75" customHeight="1">
      <c r="B714" s="35"/>
      <c r="D714" s="36"/>
    </row>
    <row r="715" ht="15.75" customHeight="1">
      <c r="B715" s="35"/>
      <c r="D715" s="36"/>
    </row>
    <row r="716" ht="15.75" customHeight="1">
      <c r="B716" s="35"/>
      <c r="D716" s="36"/>
    </row>
    <row r="717" ht="15.75" customHeight="1">
      <c r="B717" s="35"/>
      <c r="D717" s="36"/>
    </row>
    <row r="718" ht="15.75" customHeight="1">
      <c r="B718" s="35"/>
      <c r="D718" s="36"/>
    </row>
    <row r="719" ht="15.75" customHeight="1">
      <c r="B719" s="35"/>
      <c r="D719" s="36"/>
    </row>
    <row r="720" ht="15.75" customHeight="1">
      <c r="B720" s="35"/>
      <c r="D720" s="36"/>
    </row>
    <row r="721" ht="15.75" customHeight="1">
      <c r="B721" s="35"/>
      <c r="D721" s="36"/>
    </row>
    <row r="722" ht="15.75" customHeight="1">
      <c r="B722" s="35"/>
      <c r="D722" s="36"/>
    </row>
    <row r="723" ht="15.75" customHeight="1">
      <c r="B723" s="35"/>
      <c r="D723" s="36"/>
    </row>
    <row r="724" ht="15.75" customHeight="1">
      <c r="B724" s="35"/>
      <c r="D724" s="36"/>
    </row>
    <row r="725" ht="15.75" customHeight="1">
      <c r="B725" s="35"/>
      <c r="D725" s="36"/>
    </row>
    <row r="726" ht="15.75" customHeight="1">
      <c r="B726" s="35"/>
      <c r="D726" s="36"/>
    </row>
    <row r="727" ht="15.75" customHeight="1">
      <c r="B727" s="35"/>
      <c r="D727" s="36"/>
    </row>
    <row r="728" ht="15.75" customHeight="1">
      <c r="B728" s="35"/>
      <c r="D728" s="36"/>
    </row>
    <row r="729" ht="15.75" customHeight="1">
      <c r="B729" s="35"/>
      <c r="D729" s="36"/>
    </row>
    <row r="730" ht="15.75" customHeight="1">
      <c r="B730" s="35"/>
      <c r="D730" s="36"/>
    </row>
    <row r="731" ht="15.75" customHeight="1">
      <c r="B731" s="35"/>
      <c r="D731" s="36"/>
    </row>
    <row r="732" ht="15.75" customHeight="1">
      <c r="B732" s="35"/>
      <c r="D732" s="36"/>
    </row>
    <row r="733" ht="15.75" customHeight="1">
      <c r="B733" s="35"/>
      <c r="D733" s="36"/>
    </row>
    <row r="734" ht="15.75" customHeight="1">
      <c r="B734" s="35"/>
      <c r="D734" s="36"/>
    </row>
    <row r="735" ht="15.75" customHeight="1">
      <c r="B735" s="35"/>
      <c r="D735" s="36"/>
    </row>
    <row r="736" ht="15.75" customHeight="1">
      <c r="B736" s="35"/>
      <c r="D736" s="36"/>
    </row>
    <row r="737" ht="15.75" customHeight="1">
      <c r="B737" s="35"/>
      <c r="D737" s="36"/>
    </row>
    <row r="738" ht="15.75" customHeight="1">
      <c r="B738" s="35"/>
      <c r="D738" s="36"/>
    </row>
    <row r="739" ht="15.75" customHeight="1">
      <c r="B739" s="35"/>
      <c r="D739" s="36"/>
    </row>
    <row r="740" ht="15.75" customHeight="1">
      <c r="B740" s="35"/>
      <c r="D740" s="36"/>
    </row>
    <row r="741" ht="15.75" customHeight="1">
      <c r="B741" s="35"/>
      <c r="D741" s="36"/>
    </row>
    <row r="742" ht="15.75" customHeight="1">
      <c r="B742" s="35"/>
      <c r="D742" s="36"/>
    </row>
    <row r="743" ht="15.75" customHeight="1">
      <c r="B743" s="35"/>
      <c r="D743" s="36"/>
    </row>
    <row r="744" ht="15.75" customHeight="1">
      <c r="B744" s="35"/>
      <c r="D744" s="36"/>
    </row>
    <row r="745" ht="15.75" customHeight="1">
      <c r="B745" s="35"/>
      <c r="D745" s="36"/>
    </row>
    <row r="746" ht="15.75" customHeight="1">
      <c r="B746" s="35"/>
      <c r="D746" s="36"/>
    </row>
    <row r="747" ht="15.75" customHeight="1">
      <c r="B747" s="35"/>
      <c r="D747" s="36"/>
    </row>
    <row r="748" ht="15.75" customHeight="1">
      <c r="B748" s="35"/>
      <c r="D748" s="36"/>
    </row>
    <row r="749" ht="15.75" customHeight="1">
      <c r="B749" s="35"/>
      <c r="D749" s="36"/>
    </row>
    <row r="750" ht="15.75" customHeight="1">
      <c r="B750" s="35"/>
      <c r="D750" s="36"/>
    </row>
    <row r="751" ht="15.75" customHeight="1">
      <c r="B751" s="35"/>
      <c r="D751" s="36"/>
    </row>
    <row r="752" ht="15.75" customHeight="1">
      <c r="B752" s="35"/>
      <c r="D752" s="36"/>
    </row>
    <row r="753" ht="15.75" customHeight="1">
      <c r="B753" s="35"/>
      <c r="D753" s="36"/>
    </row>
    <row r="754" ht="15.75" customHeight="1">
      <c r="B754" s="35"/>
      <c r="D754" s="36"/>
    </row>
    <row r="755" ht="15.75" customHeight="1">
      <c r="B755" s="35"/>
      <c r="D755" s="36"/>
    </row>
    <row r="756" ht="15.75" customHeight="1">
      <c r="B756" s="35"/>
      <c r="D756" s="36"/>
    </row>
    <row r="757" ht="15.75" customHeight="1">
      <c r="B757" s="35"/>
      <c r="D757" s="36"/>
    </row>
    <row r="758" ht="15.75" customHeight="1">
      <c r="B758" s="35"/>
      <c r="D758" s="36"/>
    </row>
    <row r="759" ht="15.75" customHeight="1">
      <c r="B759" s="35"/>
      <c r="D759" s="36"/>
    </row>
    <row r="760" ht="15.75" customHeight="1">
      <c r="B760" s="35"/>
      <c r="D760" s="36"/>
    </row>
    <row r="761" ht="15.75" customHeight="1">
      <c r="B761" s="35"/>
      <c r="D761" s="36"/>
    </row>
    <row r="762" ht="15.75" customHeight="1">
      <c r="B762" s="35"/>
      <c r="D762" s="36"/>
    </row>
    <row r="763" ht="15.75" customHeight="1">
      <c r="B763" s="35"/>
      <c r="D763" s="36"/>
    </row>
    <row r="764" ht="15.75" customHeight="1">
      <c r="B764" s="35"/>
      <c r="D764" s="36"/>
    </row>
    <row r="765" ht="15.75" customHeight="1">
      <c r="B765" s="35"/>
      <c r="D765" s="36"/>
    </row>
    <row r="766" ht="15.75" customHeight="1">
      <c r="B766" s="35"/>
      <c r="D766" s="36"/>
    </row>
    <row r="767" ht="15.75" customHeight="1">
      <c r="B767" s="35"/>
      <c r="D767" s="36"/>
    </row>
    <row r="768" ht="15.75" customHeight="1">
      <c r="B768" s="35"/>
      <c r="D768" s="36"/>
    </row>
    <row r="769" ht="15.75" customHeight="1">
      <c r="B769" s="35"/>
      <c r="D769" s="36"/>
    </row>
    <row r="770" ht="15.75" customHeight="1">
      <c r="B770" s="35"/>
      <c r="D770" s="36"/>
    </row>
    <row r="771" ht="15.75" customHeight="1">
      <c r="B771" s="35"/>
      <c r="D771" s="36"/>
    </row>
    <row r="772" ht="15.75" customHeight="1">
      <c r="B772" s="35"/>
      <c r="D772" s="36"/>
    </row>
    <row r="773" ht="15.75" customHeight="1">
      <c r="B773" s="35"/>
      <c r="D773" s="36"/>
    </row>
    <row r="774" ht="15.75" customHeight="1">
      <c r="B774" s="35"/>
      <c r="D774" s="36"/>
    </row>
    <row r="775" ht="15.75" customHeight="1">
      <c r="B775" s="35"/>
      <c r="D775" s="36"/>
    </row>
    <row r="776" ht="15.75" customHeight="1">
      <c r="B776" s="35"/>
      <c r="D776" s="36"/>
    </row>
    <row r="777" ht="15.75" customHeight="1">
      <c r="B777" s="35"/>
      <c r="D777" s="36"/>
    </row>
    <row r="778" ht="15.75" customHeight="1">
      <c r="B778" s="35"/>
      <c r="D778" s="36"/>
    </row>
    <row r="779" ht="15.75" customHeight="1">
      <c r="B779" s="35"/>
      <c r="D779" s="36"/>
    </row>
    <row r="780" ht="15.75" customHeight="1">
      <c r="B780" s="35"/>
      <c r="D780" s="36"/>
    </row>
    <row r="781" ht="15.75" customHeight="1">
      <c r="B781" s="35"/>
      <c r="D781" s="36"/>
    </row>
    <row r="782" ht="15.75" customHeight="1">
      <c r="B782" s="35"/>
      <c r="D782" s="36"/>
    </row>
    <row r="783" ht="15.75" customHeight="1">
      <c r="B783" s="35"/>
      <c r="D783" s="36"/>
    </row>
    <row r="784" ht="15.75" customHeight="1">
      <c r="B784" s="35"/>
      <c r="D784" s="36"/>
    </row>
    <row r="785" ht="15.75" customHeight="1">
      <c r="B785" s="35"/>
      <c r="D785" s="36"/>
    </row>
    <row r="786" ht="15.75" customHeight="1">
      <c r="B786" s="35"/>
      <c r="D786" s="36"/>
    </row>
    <row r="787" ht="15.75" customHeight="1">
      <c r="B787" s="35"/>
      <c r="D787" s="36"/>
    </row>
    <row r="788" ht="15.75" customHeight="1">
      <c r="B788" s="35"/>
      <c r="D788" s="36"/>
    </row>
    <row r="789" ht="15.75" customHeight="1">
      <c r="B789" s="35"/>
      <c r="D789" s="36"/>
    </row>
    <row r="790" ht="15.75" customHeight="1">
      <c r="B790" s="35"/>
      <c r="D790" s="36"/>
    </row>
    <row r="791" ht="15.75" customHeight="1">
      <c r="B791" s="35"/>
      <c r="D791" s="36"/>
    </row>
    <row r="792" ht="15.75" customHeight="1">
      <c r="B792" s="35"/>
      <c r="D792" s="36"/>
    </row>
    <row r="793" ht="15.75" customHeight="1">
      <c r="B793" s="35"/>
      <c r="D793" s="36"/>
    </row>
    <row r="794" ht="15.75" customHeight="1">
      <c r="B794" s="35"/>
      <c r="D794" s="36"/>
    </row>
    <row r="795" ht="15.75" customHeight="1">
      <c r="B795" s="35"/>
      <c r="D795" s="36"/>
    </row>
    <row r="796" ht="15.75" customHeight="1">
      <c r="B796" s="35"/>
      <c r="D796" s="36"/>
    </row>
    <row r="797" ht="15.75" customHeight="1">
      <c r="B797" s="35"/>
      <c r="D797" s="36"/>
    </row>
    <row r="798" ht="15.75" customHeight="1">
      <c r="B798" s="35"/>
      <c r="D798" s="36"/>
    </row>
    <row r="799" ht="15.75" customHeight="1">
      <c r="B799" s="35"/>
      <c r="D799" s="36"/>
    </row>
    <row r="800" ht="15.75" customHeight="1">
      <c r="B800" s="35"/>
      <c r="D800" s="36"/>
    </row>
    <row r="801" ht="15.75" customHeight="1">
      <c r="B801" s="35"/>
      <c r="D801" s="36"/>
    </row>
    <row r="802" ht="15.75" customHeight="1">
      <c r="B802" s="35"/>
      <c r="D802" s="36"/>
    </row>
    <row r="803" ht="15.75" customHeight="1">
      <c r="B803" s="35"/>
      <c r="D803" s="36"/>
    </row>
    <row r="804" ht="15.75" customHeight="1">
      <c r="B804" s="35"/>
      <c r="D804" s="36"/>
    </row>
    <row r="805" ht="15.75" customHeight="1">
      <c r="B805" s="35"/>
      <c r="D805" s="36"/>
    </row>
    <row r="806" ht="15.75" customHeight="1">
      <c r="B806" s="35"/>
      <c r="D806" s="36"/>
    </row>
    <row r="807" ht="15.75" customHeight="1">
      <c r="B807" s="35"/>
      <c r="D807" s="36"/>
    </row>
    <row r="808" ht="15.75" customHeight="1">
      <c r="B808" s="35"/>
      <c r="D808" s="36"/>
    </row>
    <row r="809" ht="15.75" customHeight="1">
      <c r="B809" s="35"/>
      <c r="D809" s="36"/>
    </row>
    <row r="810" ht="15.75" customHeight="1">
      <c r="B810" s="35"/>
      <c r="D810" s="36"/>
    </row>
    <row r="811" ht="15.75" customHeight="1">
      <c r="B811" s="35"/>
      <c r="D811" s="36"/>
    </row>
    <row r="812" ht="15.75" customHeight="1">
      <c r="B812" s="35"/>
      <c r="D812" s="36"/>
    </row>
    <row r="813" ht="15.75" customHeight="1">
      <c r="B813" s="35"/>
      <c r="D813" s="36"/>
    </row>
    <row r="814" ht="15.75" customHeight="1">
      <c r="B814" s="35"/>
      <c r="D814" s="36"/>
    </row>
    <row r="815" ht="15.75" customHeight="1">
      <c r="B815" s="35"/>
      <c r="D815" s="36"/>
    </row>
    <row r="816" ht="15.75" customHeight="1">
      <c r="B816" s="35"/>
      <c r="D816" s="36"/>
    </row>
    <row r="817" ht="15.75" customHeight="1">
      <c r="B817" s="35"/>
      <c r="D817" s="36"/>
    </row>
    <row r="818" ht="15.75" customHeight="1">
      <c r="B818" s="35"/>
      <c r="D818" s="36"/>
    </row>
    <row r="819" ht="15.75" customHeight="1">
      <c r="B819" s="35"/>
      <c r="D819" s="36"/>
    </row>
    <row r="820" ht="15.75" customHeight="1">
      <c r="B820" s="35"/>
      <c r="D820" s="36"/>
    </row>
    <row r="821" ht="15.75" customHeight="1">
      <c r="B821" s="35"/>
      <c r="D821" s="36"/>
    </row>
    <row r="822" ht="15.75" customHeight="1">
      <c r="B822" s="35"/>
      <c r="D822" s="36"/>
    </row>
    <row r="823" ht="15.75" customHeight="1">
      <c r="B823" s="35"/>
      <c r="D823" s="36"/>
    </row>
    <row r="824" ht="15.75" customHeight="1">
      <c r="B824" s="35"/>
      <c r="D824" s="36"/>
    </row>
    <row r="825" ht="15.75" customHeight="1">
      <c r="B825" s="35"/>
      <c r="D825" s="36"/>
    </row>
    <row r="826" ht="15.75" customHeight="1">
      <c r="B826" s="35"/>
      <c r="D826" s="36"/>
    </row>
    <row r="827" ht="15.75" customHeight="1">
      <c r="B827" s="35"/>
      <c r="D827" s="36"/>
    </row>
    <row r="828" ht="15.75" customHeight="1">
      <c r="B828" s="35"/>
      <c r="D828" s="36"/>
    </row>
    <row r="829" ht="15.75" customHeight="1">
      <c r="B829" s="35"/>
      <c r="D829" s="36"/>
    </row>
    <row r="830" ht="15.75" customHeight="1">
      <c r="B830" s="35"/>
      <c r="D830" s="36"/>
    </row>
    <row r="831" ht="15.75" customHeight="1">
      <c r="B831" s="35"/>
      <c r="D831" s="36"/>
    </row>
    <row r="832" ht="15.75" customHeight="1">
      <c r="B832" s="35"/>
      <c r="D832" s="36"/>
    </row>
    <row r="833" ht="15.75" customHeight="1">
      <c r="B833" s="35"/>
      <c r="D833" s="36"/>
    </row>
    <row r="834" ht="15.75" customHeight="1">
      <c r="B834" s="35"/>
      <c r="D834" s="36"/>
    </row>
    <row r="835" ht="15.75" customHeight="1">
      <c r="B835" s="35"/>
      <c r="D835" s="36"/>
    </row>
    <row r="836" ht="15.75" customHeight="1">
      <c r="B836" s="35"/>
      <c r="D836" s="36"/>
    </row>
    <row r="837" ht="15.75" customHeight="1">
      <c r="B837" s="35"/>
      <c r="D837" s="36"/>
    </row>
    <row r="838" ht="15.75" customHeight="1">
      <c r="B838" s="35"/>
      <c r="D838" s="36"/>
    </row>
    <row r="839" ht="15.75" customHeight="1">
      <c r="B839" s="35"/>
      <c r="D839" s="36"/>
    </row>
    <row r="840" ht="15.75" customHeight="1">
      <c r="B840" s="35"/>
      <c r="D840" s="36"/>
    </row>
    <row r="841" ht="15.75" customHeight="1">
      <c r="B841" s="35"/>
      <c r="D841" s="36"/>
    </row>
    <row r="842" ht="15.75" customHeight="1">
      <c r="B842" s="35"/>
      <c r="D842" s="36"/>
    </row>
    <row r="843" ht="15.75" customHeight="1">
      <c r="B843" s="35"/>
      <c r="D843" s="36"/>
    </row>
    <row r="844" ht="15.75" customHeight="1">
      <c r="B844" s="35"/>
      <c r="D844" s="36"/>
    </row>
    <row r="845" ht="15.75" customHeight="1">
      <c r="B845" s="35"/>
      <c r="D845" s="36"/>
    </row>
    <row r="846" ht="15.75" customHeight="1">
      <c r="B846" s="35"/>
      <c r="D846" s="36"/>
    </row>
    <row r="847" ht="15.75" customHeight="1">
      <c r="B847" s="35"/>
      <c r="D847" s="36"/>
    </row>
    <row r="848" ht="15.75" customHeight="1">
      <c r="B848" s="35"/>
      <c r="D848" s="36"/>
    </row>
    <row r="849" ht="15.75" customHeight="1">
      <c r="B849" s="35"/>
      <c r="D849" s="36"/>
    </row>
    <row r="850" ht="15.75" customHeight="1">
      <c r="B850" s="35"/>
      <c r="D850" s="36"/>
    </row>
    <row r="851" ht="15.75" customHeight="1">
      <c r="B851" s="35"/>
      <c r="D851" s="36"/>
    </row>
    <row r="852" ht="15.75" customHeight="1">
      <c r="B852" s="35"/>
      <c r="D852" s="36"/>
    </row>
    <row r="853" ht="15.75" customHeight="1">
      <c r="B853" s="35"/>
      <c r="D853" s="36"/>
    </row>
    <row r="854" ht="15.75" customHeight="1">
      <c r="B854" s="35"/>
      <c r="D854" s="36"/>
    </row>
    <row r="855" ht="15.75" customHeight="1">
      <c r="B855" s="35"/>
      <c r="D855" s="36"/>
    </row>
    <row r="856" ht="15.75" customHeight="1">
      <c r="B856" s="35"/>
      <c r="D856" s="36"/>
    </row>
    <row r="857" ht="15.75" customHeight="1">
      <c r="B857" s="35"/>
      <c r="D857" s="36"/>
    </row>
    <row r="858" ht="15.75" customHeight="1">
      <c r="B858" s="35"/>
      <c r="D858" s="36"/>
    </row>
    <row r="859" ht="15.75" customHeight="1">
      <c r="B859" s="35"/>
      <c r="D859" s="36"/>
    </row>
    <row r="860" ht="15.75" customHeight="1">
      <c r="B860" s="35"/>
      <c r="D860" s="36"/>
    </row>
    <row r="861" ht="15.75" customHeight="1">
      <c r="B861" s="35"/>
      <c r="D861" s="36"/>
    </row>
    <row r="862" ht="15.75" customHeight="1">
      <c r="B862" s="35"/>
      <c r="D862" s="36"/>
    </row>
    <row r="863" ht="15.75" customHeight="1">
      <c r="B863" s="35"/>
      <c r="D863" s="36"/>
    </row>
    <row r="864" ht="15.75" customHeight="1">
      <c r="B864" s="35"/>
      <c r="D864" s="36"/>
    </row>
    <row r="865" ht="15.75" customHeight="1">
      <c r="B865" s="35"/>
      <c r="D865" s="36"/>
    </row>
    <row r="866" ht="15.75" customHeight="1">
      <c r="B866" s="35"/>
      <c r="D866" s="36"/>
    </row>
    <row r="867" ht="15.75" customHeight="1">
      <c r="B867" s="35"/>
      <c r="D867" s="36"/>
    </row>
    <row r="868" ht="15.75" customHeight="1">
      <c r="B868" s="35"/>
      <c r="D868" s="36"/>
    </row>
    <row r="869" ht="15.75" customHeight="1">
      <c r="B869" s="35"/>
      <c r="D869" s="36"/>
    </row>
    <row r="870" ht="15.75" customHeight="1">
      <c r="B870" s="35"/>
      <c r="D870" s="36"/>
    </row>
    <row r="871" ht="15.75" customHeight="1">
      <c r="B871" s="35"/>
      <c r="D871" s="36"/>
    </row>
    <row r="872" ht="15.75" customHeight="1">
      <c r="B872" s="35"/>
      <c r="D872" s="36"/>
    </row>
    <row r="873" ht="15.75" customHeight="1">
      <c r="B873" s="35"/>
      <c r="D873" s="36"/>
    </row>
    <row r="874" ht="15.75" customHeight="1">
      <c r="B874" s="35"/>
      <c r="D874" s="36"/>
    </row>
    <row r="875" ht="15.75" customHeight="1">
      <c r="B875" s="35"/>
      <c r="D875" s="36"/>
    </row>
    <row r="876" ht="15.75" customHeight="1">
      <c r="B876" s="35"/>
      <c r="D876" s="36"/>
    </row>
    <row r="877" ht="15.75" customHeight="1">
      <c r="B877" s="35"/>
      <c r="D877" s="36"/>
    </row>
    <row r="878" ht="15.75" customHeight="1">
      <c r="B878" s="35"/>
      <c r="D878" s="36"/>
    </row>
    <row r="879" ht="15.75" customHeight="1">
      <c r="B879" s="35"/>
      <c r="D879" s="36"/>
    </row>
    <row r="880" ht="15.75" customHeight="1">
      <c r="B880" s="35"/>
      <c r="D880" s="36"/>
    </row>
    <row r="881" ht="15.75" customHeight="1">
      <c r="B881" s="35"/>
      <c r="D881" s="36"/>
    </row>
    <row r="882" ht="15.75" customHeight="1">
      <c r="B882" s="35"/>
      <c r="D882" s="36"/>
    </row>
    <row r="883" ht="15.75" customHeight="1">
      <c r="B883" s="35"/>
      <c r="D883" s="36"/>
    </row>
    <row r="884" ht="15.75" customHeight="1">
      <c r="B884" s="35"/>
      <c r="D884" s="36"/>
    </row>
    <row r="885" ht="15.75" customHeight="1">
      <c r="B885" s="35"/>
      <c r="D885" s="36"/>
    </row>
    <row r="886" ht="15.75" customHeight="1">
      <c r="B886" s="35"/>
      <c r="D886" s="36"/>
    </row>
    <row r="887" ht="15.75" customHeight="1">
      <c r="B887" s="35"/>
      <c r="D887" s="36"/>
    </row>
    <row r="888" ht="15.75" customHeight="1">
      <c r="B888" s="35"/>
      <c r="D888" s="36"/>
    </row>
    <row r="889" ht="15.75" customHeight="1">
      <c r="B889" s="35"/>
      <c r="D889" s="36"/>
    </row>
    <row r="890" ht="15.75" customHeight="1">
      <c r="B890" s="35"/>
      <c r="D890" s="36"/>
    </row>
    <row r="891" ht="15.75" customHeight="1">
      <c r="B891" s="35"/>
      <c r="D891" s="36"/>
    </row>
    <row r="892" ht="15.75" customHeight="1">
      <c r="B892" s="35"/>
      <c r="D892" s="36"/>
    </row>
    <row r="893" ht="15.75" customHeight="1">
      <c r="B893" s="35"/>
      <c r="D893" s="36"/>
    </row>
    <row r="894" ht="15.75" customHeight="1">
      <c r="B894" s="35"/>
      <c r="D894" s="36"/>
    </row>
    <row r="895" ht="15.75" customHeight="1">
      <c r="B895" s="35"/>
      <c r="D895" s="36"/>
    </row>
    <row r="896" ht="15.75" customHeight="1">
      <c r="B896" s="35"/>
      <c r="D896" s="36"/>
    </row>
    <row r="897" ht="15.75" customHeight="1">
      <c r="B897" s="35"/>
      <c r="D897" s="36"/>
    </row>
    <row r="898" ht="15.75" customHeight="1">
      <c r="B898" s="35"/>
      <c r="D898" s="36"/>
    </row>
    <row r="899" ht="15.75" customHeight="1">
      <c r="B899" s="35"/>
      <c r="D899" s="36"/>
    </row>
    <row r="900" ht="15.75" customHeight="1">
      <c r="B900" s="35"/>
      <c r="D900" s="36"/>
    </row>
    <row r="901" ht="15.75" customHeight="1">
      <c r="B901" s="35"/>
      <c r="D901" s="36"/>
    </row>
    <row r="902" ht="15.75" customHeight="1">
      <c r="B902" s="35"/>
      <c r="D902" s="36"/>
    </row>
    <row r="903" ht="15.75" customHeight="1">
      <c r="B903" s="35"/>
      <c r="D903" s="36"/>
    </row>
    <row r="904" ht="15.75" customHeight="1">
      <c r="B904" s="35"/>
      <c r="D904" s="36"/>
    </row>
    <row r="905" ht="15.75" customHeight="1">
      <c r="B905" s="35"/>
      <c r="D905" s="36"/>
    </row>
    <row r="906" ht="15.75" customHeight="1">
      <c r="B906" s="35"/>
      <c r="D906" s="36"/>
    </row>
    <row r="907" ht="15.75" customHeight="1">
      <c r="B907" s="35"/>
      <c r="D907" s="36"/>
    </row>
    <row r="908" ht="15.75" customHeight="1">
      <c r="B908" s="35"/>
      <c r="D908" s="36"/>
    </row>
    <row r="909" ht="15.75" customHeight="1">
      <c r="B909" s="35"/>
      <c r="D909" s="36"/>
    </row>
    <row r="910" ht="15.75" customHeight="1">
      <c r="B910" s="35"/>
      <c r="D910" s="36"/>
    </row>
    <row r="911" ht="15.75" customHeight="1">
      <c r="B911" s="35"/>
      <c r="D911" s="36"/>
    </row>
    <row r="912" ht="15.75" customHeight="1">
      <c r="B912" s="35"/>
      <c r="D912" s="36"/>
    </row>
    <row r="913" ht="15.75" customHeight="1">
      <c r="B913" s="35"/>
      <c r="D913" s="36"/>
    </row>
    <row r="914" ht="15.75" customHeight="1">
      <c r="B914" s="35"/>
      <c r="D914" s="36"/>
    </row>
    <row r="915" ht="15.75" customHeight="1">
      <c r="B915" s="35"/>
      <c r="D915" s="36"/>
    </row>
    <row r="916" ht="15.75" customHeight="1">
      <c r="B916" s="35"/>
      <c r="D916" s="36"/>
    </row>
    <row r="917" ht="15.75" customHeight="1">
      <c r="B917" s="35"/>
      <c r="D917" s="36"/>
    </row>
    <row r="918" ht="15.75" customHeight="1">
      <c r="B918" s="35"/>
      <c r="D918" s="36"/>
    </row>
    <row r="919" ht="15.75" customHeight="1">
      <c r="B919" s="35"/>
      <c r="D919" s="36"/>
    </row>
    <row r="920" ht="15.75" customHeight="1">
      <c r="B920" s="35"/>
      <c r="D920" s="36"/>
    </row>
    <row r="921" ht="15.75" customHeight="1">
      <c r="B921" s="35"/>
      <c r="D921" s="36"/>
    </row>
    <row r="922" ht="15.75" customHeight="1">
      <c r="B922" s="35"/>
      <c r="D922" s="36"/>
    </row>
    <row r="923" ht="15.75" customHeight="1">
      <c r="B923" s="35"/>
      <c r="D923" s="36"/>
    </row>
    <row r="924" ht="15.75" customHeight="1">
      <c r="B924" s="35"/>
      <c r="D924" s="36"/>
    </row>
    <row r="925" ht="15.75" customHeight="1">
      <c r="B925" s="35"/>
      <c r="D925" s="36"/>
    </row>
    <row r="926" ht="15.75" customHeight="1">
      <c r="B926" s="35"/>
      <c r="D926" s="36"/>
    </row>
    <row r="927" ht="15.75" customHeight="1">
      <c r="B927" s="35"/>
      <c r="D927" s="36"/>
    </row>
    <row r="928" ht="15.75" customHeight="1">
      <c r="B928" s="35"/>
      <c r="D928" s="36"/>
    </row>
    <row r="929" ht="15.75" customHeight="1">
      <c r="B929" s="35"/>
      <c r="D929" s="36"/>
    </row>
    <row r="930" ht="15.75" customHeight="1">
      <c r="B930" s="35"/>
      <c r="D930" s="36"/>
    </row>
    <row r="931" ht="15.75" customHeight="1">
      <c r="B931" s="35"/>
      <c r="D931" s="36"/>
    </row>
    <row r="932" ht="15.75" customHeight="1">
      <c r="B932" s="35"/>
      <c r="D932" s="36"/>
    </row>
    <row r="933" ht="15.75" customHeight="1">
      <c r="B933" s="35"/>
      <c r="D933" s="36"/>
    </row>
    <row r="934" ht="15.75" customHeight="1">
      <c r="B934" s="35"/>
      <c r="D934" s="36"/>
    </row>
    <row r="935" ht="15.75" customHeight="1">
      <c r="B935" s="35"/>
      <c r="D935" s="36"/>
    </row>
    <row r="936" ht="15.75" customHeight="1">
      <c r="B936" s="35"/>
      <c r="D936" s="36"/>
    </row>
    <row r="937" ht="15.75" customHeight="1">
      <c r="B937" s="35"/>
      <c r="D937" s="36"/>
    </row>
    <row r="938" ht="15.75" customHeight="1">
      <c r="B938" s="35"/>
      <c r="D938" s="36"/>
    </row>
    <row r="939" ht="15.75" customHeight="1">
      <c r="B939" s="35"/>
      <c r="D939" s="36"/>
    </row>
    <row r="940" ht="15.75" customHeight="1">
      <c r="B940" s="35"/>
      <c r="D940" s="36"/>
    </row>
    <row r="941" ht="15.75" customHeight="1">
      <c r="B941" s="35"/>
      <c r="D941" s="36"/>
    </row>
    <row r="942" ht="15.75" customHeight="1">
      <c r="B942" s="35"/>
      <c r="D942" s="36"/>
    </row>
    <row r="943" ht="15.75" customHeight="1">
      <c r="B943" s="35"/>
      <c r="D943" s="36"/>
    </row>
    <row r="944" ht="15.75" customHeight="1">
      <c r="B944" s="35"/>
      <c r="D944" s="36"/>
    </row>
    <row r="945" ht="15.75" customHeight="1">
      <c r="B945" s="35"/>
      <c r="D945" s="36"/>
    </row>
    <row r="946" ht="15.75" customHeight="1">
      <c r="B946" s="35"/>
      <c r="D946" s="36"/>
    </row>
    <row r="947" ht="15.75" customHeight="1">
      <c r="B947" s="35"/>
      <c r="D947" s="36"/>
    </row>
    <row r="948" ht="15.75" customHeight="1">
      <c r="B948" s="35"/>
      <c r="D948" s="36"/>
    </row>
    <row r="949" ht="15.75" customHeight="1">
      <c r="B949" s="35"/>
      <c r="D949" s="36"/>
    </row>
    <row r="950" ht="15.75" customHeight="1">
      <c r="B950" s="35"/>
      <c r="D950" s="36"/>
    </row>
    <row r="951" ht="15.75" customHeight="1">
      <c r="B951" s="35"/>
      <c r="D951" s="36"/>
    </row>
    <row r="952" ht="15.75" customHeight="1">
      <c r="B952" s="35"/>
      <c r="D952" s="36"/>
    </row>
    <row r="953" ht="15.75" customHeight="1">
      <c r="B953" s="35"/>
      <c r="D953" s="36"/>
    </row>
    <row r="954" ht="15.75" customHeight="1">
      <c r="B954" s="35"/>
      <c r="D954" s="36"/>
    </row>
    <row r="955" ht="15.75" customHeight="1">
      <c r="B955" s="35"/>
      <c r="D955" s="36"/>
    </row>
    <row r="956" ht="15.75" customHeight="1">
      <c r="B956" s="35"/>
      <c r="D956" s="36"/>
    </row>
    <row r="957" ht="15.75" customHeight="1">
      <c r="B957" s="35"/>
      <c r="D957" s="36"/>
    </row>
    <row r="958" ht="15.75" customHeight="1">
      <c r="B958" s="35"/>
      <c r="D958" s="36"/>
    </row>
    <row r="959" ht="15.75" customHeight="1">
      <c r="B959" s="35"/>
      <c r="D959" s="36"/>
    </row>
    <row r="960" ht="15.75" customHeight="1">
      <c r="B960" s="35"/>
      <c r="D960" s="36"/>
    </row>
    <row r="961" ht="15.75" customHeight="1">
      <c r="B961" s="35"/>
      <c r="D961" s="36"/>
    </row>
    <row r="962" ht="15.75" customHeight="1">
      <c r="B962" s="35"/>
      <c r="D962" s="36"/>
    </row>
    <row r="963" ht="15.75" customHeight="1">
      <c r="B963" s="35"/>
      <c r="D963" s="36"/>
    </row>
    <row r="964" ht="15.75" customHeight="1">
      <c r="B964" s="35"/>
      <c r="D964" s="36"/>
    </row>
    <row r="965" ht="15.75" customHeight="1">
      <c r="B965" s="35"/>
      <c r="D965" s="36"/>
    </row>
    <row r="966" ht="15.75" customHeight="1">
      <c r="B966" s="35"/>
      <c r="D966" s="36"/>
    </row>
    <row r="967" ht="15.75" customHeight="1">
      <c r="B967" s="35"/>
      <c r="D967" s="36"/>
    </row>
    <row r="968" ht="15.75" customHeight="1">
      <c r="B968" s="35"/>
      <c r="D968" s="36"/>
    </row>
    <row r="969" ht="15.75" customHeight="1">
      <c r="B969" s="35"/>
      <c r="D969" s="36"/>
    </row>
    <row r="970" ht="15.75" customHeight="1">
      <c r="B970" s="35"/>
      <c r="D970" s="36"/>
    </row>
    <row r="971" ht="15.75" customHeight="1">
      <c r="B971" s="35"/>
      <c r="D971" s="36"/>
    </row>
    <row r="972" ht="15.75" customHeight="1">
      <c r="B972" s="35"/>
      <c r="D972" s="36"/>
    </row>
    <row r="973" ht="15.75" customHeight="1">
      <c r="B973" s="35"/>
      <c r="D973" s="36"/>
    </row>
    <row r="974" ht="15.75" customHeight="1">
      <c r="B974" s="35"/>
      <c r="D974" s="36"/>
    </row>
    <row r="975" ht="15.75" customHeight="1">
      <c r="B975" s="35"/>
      <c r="D975" s="36"/>
    </row>
    <row r="976" ht="15.75" customHeight="1">
      <c r="B976" s="35"/>
      <c r="D976" s="36"/>
    </row>
    <row r="977" ht="15.75" customHeight="1">
      <c r="B977" s="35"/>
      <c r="D977" s="36"/>
    </row>
    <row r="978" ht="15.75" customHeight="1">
      <c r="B978" s="35"/>
      <c r="D978" s="36"/>
    </row>
    <row r="979" ht="15.75" customHeight="1">
      <c r="B979" s="35"/>
      <c r="D979" s="36"/>
    </row>
    <row r="980" ht="15.75" customHeight="1">
      <c r="B980" s="35"/>
      <c r="D980" s="36"/>
    </row>
    <row r="981" ht="15.75" customHeight="1">
      <c r="B981" s="35"/>
      <c r="D981" s="36"/>
    </row>
    <row r="982" ht="15.75" customHeight="1">
      <c r="B982" s="35"/>
      <c r="D982" s="36"/>
    </row>
    <row r="983" ht="15.75" customHeight="1">
      <c r="B983" s="35"/>
      <c r="D983" s="36"/>
    </row>
    <row r="984" ht="15.75" customHeight="1">
      <c r="B984" s="35"/>
      <c r="D984" s="36"/>
    </row>
    <row r="985" ht="15.75" customHeight="1">
      <c r="B985" s="35"/>
      <c r="D985" s="36"/>
    </row>
    <row r="986" ht="15.75" customHeight="1">
      <c r="B986" s="35"/>
      <c r="D986" s="36"/>
    </row>
    <row r="987" ht="15.75" customHeight="1">
      <c r="B987" s="35"/>
      <c r="D987" s="36"/>
    </row>
    <row r="988" ht="15.75" customHeight="1">
      <c r="B988" s="35"/>
      <c r="D988" s="36"/>
    </row>
    <row r="989" ht="15.75" customHeight="1">
      <c r="B989" s="35"/>
      <c r="D989" s="36"/>
    </row>
    <row r="990" ht="15.75" customHeight="1">
      <c r="B990" s="35"/>
      <c r="D990" s="36"/>
    </row>
    <row r="991" ht="15.75" customHeight="1">
      <c r="B991" s="35"/>
      <c r="D991" s="36"/>
    </row>
    <row r="992" ht="15.75" customHeight="1">
      <c r="B992" s="35"/>
      <c r="D992" s="36"/>
    </row>
    <row r="993" ht="15.75" customHeight="1">
      <c r="B993" s="35"/>
      <c r="D993" s="36"/>
    </row>
    <row r="994" ht="15.75" customHeight="1">
      <c r="B994" s="35"/>
      <c r="D994" s="36"/>
    </row>
    <row r="995" ht="15.75" customHeight="1">
      <c r="B995" s="35"/>
      <c r="D995" s="36"/>
    </row>
    <row r="996" ht="15.75" customHeight="1">
      <c r="B996" s="35"/>
      <c r="D996" s="36"/>
    </row>
    <row r="997" ht="15.75" customHeight="1">
      <c r="B997" s="35"/>
      <c r="D997" s="36"/>
    </row>
    <row r="998" ht="15.75" customHeight="1">
      <c r="B998" s="35"/>
      <c r="D998" s="36"/>
    </row>
    <row r="999" ht="15.75" customHeight="1">
      <c r="B999" s="35"/>
      <c r="D999" s="36"/>
    </row>
    <row r="1000" ht="15.75" customHeight="1">
      <c r="B1000" s="35"/>
      <c r="D1000" s="36"/>
    </row>
    <row r="1001" ht="15.75" customHeight="1">
      <c r="B1001" s="35"/>
      <c r="D1001" s="36"/>
    </row>
    <row r="1002" ht="15.75" customHeight="1">
      <c r="B1002" s="35"/>
      <c r="D1002" s="36"/>
    </row>
    <row r="1003" ht="15.75" customHeight="1">
      <c r="B1003" s="35"/>
      <c r="D1003" s="36"/>
    </row>
  </sheetData>
  <dataValidations>
    <dataValidation type="list" allowBlank="1" showDropDown="1" showErrorMessage="1" sqref="I137:I144">
      <formula1>"Efectivo,Transferencia"</formula1>
    </dataValidation>
    <dataValidation type="list" allowBlank="1" sqref="K2:K136">
      <formula1>"Web,Instagram,Referidos,Conocido"</formula1>
    </dataValidation>
    <dataValidation type="list" allowBlank="1" showDropDown="1" showErrorMessage="1" sqref="J137:J144">
      <formula1>"si,Si"</formula1>
    </dataValidation>
    <dataValidation type="list" allowBlank="1" sqref="K137:K144">
      <formula1>"Web,Instagram,Referidos,Conocido"</formula1>
    </dataValidation>
    <dataValidation type="custom" allowBlank="1" showDropDown="1" sqref="F2:H136 L2:N136">
      <formula1>AND(ISNUMBER(F2),(NOT(OR(NOT(ISERROR(DATEVALUE(F2))), AND(ISNUMBER(F2), LEFT(CELL("format", F2))="D")))))</formula1>
    </dataValidation>
    <dataValidation type="list" allowBlank="1" showDropDown="1" showErrorMessage="1" sqref="J2:J136">
      <formula1>"si,Si"</formula1>
    </dataValidation>
    <dataValidation type="list" allowBlank="1" showDropDown="1" showErrorMessage="1" sqref="I2:I136">
      <formula1>"Efectivo,Transferencia"</formula1>
    </dataValidation>
    <dataValidation type="list" allowBlank="1" showErrorMessage="1" sqref="P3">
      <formula1>"Opción 1,Opción 2"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8.0"/>
    <col customWidth="1" min="5" max="5" width="20.14"/>
    <col customWidth="1" min="6" max="8" width="18.0"/>
    <col customWidth="1" min="9" max="26" width="8.71"/>
  </cols>
  <sheetData>
    <row r="1" ht="22.5" customHeight="1">
      <c r="A1" s="37" t="s">
        <v>0</v>
      </c>
      <c r="B1" s="37" t="s">
        <v>291</v>
      </c>
      <c r="C1" s="37" t="s">
        <v>292</v>
      </c>
      <c r="D1" s="37" t="s">
        <v>293</v>
      </c>
      <c r="E1" s="37" t="s">
        <v>8</v>
      </c>
      <c r="F1" s="37" t="s">
        <v>11</v>
      </c>
      <c r="G1" s="37" t="s">
        <v>12</v>
      </c>
      <c r="H1" s="37" t="s">
        <v>13</v>
      </c>
    </row>
    <row r="2" ht="22.5" customHeight="1">
      <c r="A2" s="38">
        <v>45887.0</v>
      </c>
      <c r="B2" s="39" t="s">
        <v>294</v>
      </c>
      <c r="C2" s="39" t="s">
        <v>295</v>
      </c>
      <c r="D2" s="39">
        <v>27000.0</v>
      </c>
      <c r="E2" s="39" t="s">
        <v>296</v>
      </c>
    </row>
    <row r="3" ht="22.5" customHeight="1">
      <c r="A3" s="38">
        <v>45893.0</v>
      </c>
      <c r="B3" s="39" t="s">
        <v>294</v>
      </c>
      <c r="C3" s="39" t="s">
        <v>295</v>
      </c>
      <c r="D3" s="39">
        <v>8500.0</v>
      </c>
      <c r="E3" s="39" t="s">
        <v>296</v>
      </c>
    </row>
    <row r="4" ht="22.5" customHeight="1">
      <c r="A4" s="38">
        <v>45906.0</v>
      </c>
      <c r="B4" s="39" t="s">
        <v>297</v>
      </c>
      <c r="C4" s="39" t="s">
        <v>298</v>
      </c>
      <c r="D4" s="39">
        <v>20000.0</v>
      </c>
      <c r="E4" s="39" t="s">
        <v>19</v>
      </c>
      <c r="F4" s="40">
        <f t="shared" ref="F4:F6" si="1">IFERROR(MONTH(A4),"")</f>
        <v>9</v>
      </c>
      <c r="G4" s="40">
        <f t="shared" ref="G4:G6" si="2">IFERROR(YEAR(A4),"")</f>
        <v>2025</v>
      </c>
      <c r="H4" s="40">
        <f t="shared" ref="H4:H6" si="3">IFERROR(WEEKNUM(A4,2),"")</f>
        <v>36</v>
      </c>
    </row>
    <row r="5" ht="22.5" customHeight="1">
      <c r="A5" s="38">
        <v>45906.0</v>
      </c>
      <c r="B5" s="39" t="s">
        <v>299</v>
      </c>
      <c r="C5" s="39" t="s">
        <v>300</v>
      </c>
      <c r="D5" s="39">
        <v>20000.0</v>
      </c>
      <c r="E5" s="39" t="s">
        <v>19</v>
      </c>
      <c r="F5" s="40">
        <f t="shared" si="1"/>
        <v>9</v>
      </c>
      <c r="G5" s="40">
        <f t="shared" si="2"/>
        <v>2025</v>
      </c>
      <c r="H5" s="40">
        <f t="shared" si="3"/>
        <v>36</v>
      </c>
    </row>
    <row r="6" ht="22.5" customHeight="1">
      <c r="A6" s="38">
        <v>45915.0</v>
      </c>
      <c r="B6" s="39" t="s">
        <v>299</v>
      </c>
      <c r="C6" s="39" t="s">
        <v>300</v>
      </c>
      <c r="D6" s="39">
        <v>20000.0</v>
      </c>
      <c r="E6" s="39" t="s">
        <v>19</v>
      </c>
      <c r="F6" s="40">
        <f t="shared" si="1"/>
        <v>9</v>
      </c>
      <c r="G6" s="40">
        <f t="shared" si="2"/>
        <v>2025</v>
      </c>
      <c r="H6" s="40">
        <f t="shared" si="3"/>
        <v>38</v>
      </c>
    </row>
    <row r="7" ht="22.5" customHeight="1">
      <c r="A7" s="38">
        <v>45917.0</v>
      </c>
      <c r="B7" s="39" t="s">
        <v>301</v>
      </c>
      <c r="C7" s="39" t="s">
        <v>302</v>
      </c>
      <c r="D7" s="39">
        <v>18900.0</v>
      </c>
      <c r="E7" s="39" t="s">
        <v>303</v>
      </c>
    </row>
    <row r="8" ht="22.5" customHeight="1">
      <c r="A8" s="38">
        <v>45928.0</v>
      </c>
      <c r="B8" s="39" t="s">
        <v>301</v>
      </c>
      <c r="C8" s="39" t="s">
        <v>302</v>
      </c>
      <c r="D8" s="39">
        <v>20000.0</v>
      </c>
      <c r="E8" s="39" t="s">
        <v>304</v>
      </c>
    </row>
    <row r="9" ht="22.5" customHeight="1">
      <c r="A9" s="38">
        <v>45933.0</v>
      </c>
      <c r="B9" s="39" t="s">
        <v>299</v>
      </c>
      <c r="C9" s="39" t="s">
        <v>300</v>
      </c>
      <c r="D9" s="39">
        <v>20000.0</v>
      </c>
      <c r="E9" s="39" t="s">
        <v>19</v>
      </c>
      <c r="F9" s="40">
        <f t="shared" ref="F9:F11" si="4">IFERROR(MONTH(A9),"")</f>
        <v>10</v>
      </c>
      <c r="G9" s="40">
        <f t="shared" ref="G9:G11" si="5">IFERROR(YEAR(A9),"")</f>
        <v>2025</v>
      </c>
      <c r="H9" s="40">
        <f t="shared" ref="H9:H11" si="6">IFERROR(WEEKNUM(A9,2),"")</f>
        <v>40</v>
      </c>
    </row>
    <row r="10" ht="22.5" customHeight="1">
      <c r="A10" s="41">
        <v>45948.0</v>
      </c>
      <c r="B10" s="39" t="s">
        <v>301</v>
      </c>
      <c r="C10" s="39" t="s">
        <v>28</v>
      </c>
      <c r="D10" s="39">
        <v>25000.0</v>
      </c>
      <c r="E10" s="39" t="s">
        <v>303</v>
      </c>
      <c r="F10" s="40">
        <f t="shared" si="4"/>
        <v>10</v>
      </c>
      <c r="G10" s="40">
        <f t="shared" si="5"/>
        <v>2025</v>
      </c>
      <c r="H10" s="40">
        <f t="shared" si="6"/>
        <v>42</v>
      </c>
    </row>
    <row r="11" ht="22.5" customHeight="1">
      <c r="A11" s="41">
        <v>45947.0</v>
      </c>
      <c r="B11" s="39" t="s">
        <v>305</v>
      </c>
      <c r="C11" s="39" t="s">
        <v>306</v>
      </c>
      <c r="D11" s="42">
        <v>38794.0</v>
      </c>
      <c r="E11" s="39" t="s">
        <v>307</v>
      </c>
      <c r="F11" s="40">
        <f t="shared" si="4"/>
        <v>10</v>
      </c>
      <c r="G11" s="40">
        <f t="shared" si="5"/>
        <v>2025</v>
      </c>
      <c r="H11" s="40">
        <f t="shared" si="6"/>
        <v>42</v>
      </c>
    </row>
    <row r="12" ht="22.5" customHeight="1">
      <c r="A12" s="41">
        <v>45945.0</v>
      </c>
      <c r="B12" s="39" t="s">
        <v>299</v>
      </c>
      <c r="C12" s="39" t="s">
        <v>300</v>
      </c>
      <c r="D12" s="39">
        <v>20000.0</v>
      </c>
      <c r="E12" s="39" t="s">
        <v>19</v>
      </c>
      <c r="F12" s="40" t="str">
        <f>IFERROR(MONTH(#REF!),"")</f>
        <v/>
      </c>
      <c r="G12" s="40" t="str">
        <f>IFERROR(YEAR(#REF!),"")</f>
        <v/>
      </c>
      <c r="H12" s="40" t="str">
        <f>IFERROR(WEEKNUM(#REF!,2),"")</f>
        <v/>
      </c>
    </row>
    <row r="13" ht="22.5" customHeight="1">
      <c r="A13" s="41">
        <v>45946.0</v>
      </c>
      <c r="B13" s="39" t="s">
        <v>308</v>
      </c>
      <c r="C13" s="39" t="s">
        <v>309</v>
      </c>
      <c r="D13" s="39">
        <v>22000.0</v>
      </c>
      <c r="F13" s="40">
        <f t="shared" ref="F13:F55" si="7">IFERROR(MONTH(A13),"")</f>
        <v>10</v>
      </c>
      <c r="G13" s="40">
        <f t="shared" ref="G13:G55" si="8">IFERROR(YEAR(A13),"")</f>
        <v>2025</v>
      </c>
      <c r="H13" s="40">
        <f t="shared" ref="H13:H55" si="9">IFERROR(WEEKNUM(A13,2),"")</f>
        <v>42</v>
      </c>
    </row>
    <row r="14" ht="22.5" customHeight="1">
      <c r="A14" s="41">
        <v>45948.0</v>
      </c>
      <c r="B14" s="39" t="s">
        <v>310</v>
      </c>
      <c r="C14" s="39" t="s">
        <v>311</v>
      </c>
      <c r="D14" s="39">
        <v>237980.0</v>
      </c>
      <c r="E14" s="39" t="s">
        <v>312</v>
      </c>
      <c r="F14" s="40">
        <f t="shared" si="7"/>
        <v>10</v>
      </c>
      <c r="G14" s="40">
        <f t="shared" si="8"/>
        <v>2025</v>
      </c>
      <c r="H14" s="40">
        <f t="shared" si="9"/>
        <v>42</v>
      </c>
    </row>
    <row r="15" ht="22.5" customHeight="1">
      <c r="A15" s="38">
        <v>45760.0</v>
      </c>
      <c r="B15" s="39" t="s">
        <v>305</v>
      </c>
      <c r="C15" s="39" t="s">
        <v>313</v>
      </c>
      <c r="D15" s="39">
        <v>17830.0</v>
      </c>
      <c r="E15" s="39" t="s">
        <v>312</v>
      </c>
      <c r="F15" s="40">
        <f t="shared" si="7"/>
        <v>4</v>
      </c>
      <c r="G15" s="40">
        <f t="shared" si="8"/>
        <v>2025</v>
      </c>
      <c r="H15" s="40">
        <f t="shared" si="9"/>
        <v>15</v>
      </c>
    </row>
    <row r="16" ht="22.5" customHeight="1">
      <c r="F16" s="40">
        <f t="shared" si="7"/>
        <v>12</v>
      </c>
      <c r="G16" s="40">
        <f t="shared" si="8"/>
        <v>1899</v>
      </c>
      <c r="H16" s="40">
        <f t="shared" si="9"/>
        <v>53</v>
      </c>
    </row>
    <row r="17" ht="22.5" customHeight="1">
      <c r="F17" s="40">
        <f t="shared" si="7"/>
        <v>12</v>
      </c>
      <c r="G17" s="40">
        <f t="shared" si="8"/>
        <v>1899</v>
      </c>
      <c r="H17" s="40">
        <f t="shared" si="9"/>
        <v>53</v>
      </c>
    </row>
    <row r="18" ht="22.5" customHeight="1">
      <c r="F18" s="40">
        <f t="shared" si="7"/>
        <v>12</v>
      </c>
      <c r="G18" s="40">
        <f t="shared" si="8"/>
        <v>1899</v>
      </c>
      <c r="H18" s="40">
        <f t="shared" si="9"/>
        <v>53</v>
      </c>
    </row>
    <row r="19" ht="22.5" customHeight="1">
      <c r="F19" s="40">
        <f t="shared" si="7"/>
        <v>12</v>
      </c>
      <c r="G19" s="40">
        <f t="shared" si="8"/>
        <v>1899</v>
      </c>
      <c r="H19" s="40">
        <f t="shared" si="9"/>
        <v>53</v>
      </c>
    </row>
    <row r="20" ht="22.5" customHeight="1">
      <c r="F20" s="40">
        <f t="shared" si="7"/>
        <v>12</v>
      </c>
      <c r="G20" s="40">
        <f t="shared" si="8"/>
        <v>1899</v>
      </c>
      <c r="H20" s="40">
        <f t="shared" si="9"/>
        <v>53</v>
      </c>
    </row>
    <row r="21" ht="22.5" customHeight="1">
      <c r="D21" s="40">
        <f>SUM(D2:D17)</f>
        <v>516004</v>
      </c>
      <c r="F21" s="40">
        <f t="shared" si="7"/>
        <v>12</v>
      </c>
      <c r="G21" s="40">
        <f t="shared" si="8"/>
        <v>1899</v>
      </c>
      <c r="H21" s="40">
        <f t="shared" si="9"/>
        <v>53</v>
      </c>
    </row>
    <row r="22" ht="22.5" customHeight="1">
      <c r="F22" s="40">
        <f t="shared" si="7"/>
        <v>12</v>
      </c>
      <c r="G22" s="40">
        <f t="shared" si="8"/>
        <v>1899</v>
      </c>
      <c r="H22" s="40">
        <f t="shared" si="9"/>
        <v>53</v>
      </c>
    </row>
    <row r="23" ht="22.5" customHeight="1">
      <c r="F23" s="40">
        <f t="shared" si="7"/>
        <v>12</v>
      </c>
      <c r="G23" s="40">
        <f t="shared" si="8"/>
        <v>1899</v>
      </c>
      <c r="H23" s="40">
        <f t="shared" si="9"/>
        <v>53</v>
      </c>
    </row>
    <row r="24" ht="22.5" customHeight="1">
      <c r="F24" s="40">
        <f t="shared" si="7"/>
        <v>12</v>
      </c>
      <c r="G24" s="40">
        <f t="shared" si="8"/>
        <v>1899</v>
      </c>
      <c r="H24" s="40">
        <f t="shared" si="9"/>
        <v>53</v>
      </c>
    </row>
    <row r="25" ht="15.75" customHeight="1">
      <c r="F25" s="40">
        <f t="shared" si="7"/>
        <v>12</v>
      </c>
      <c r="G25" s="40">
        <f t="shared" si="8"/>
        <v>1899</v>
      </c>
      <c r="H25" s="40">
        <f t="shared" si="9"/>
        <v>53</v>
      </c>
    </row>
    <row r="26" ht="15.75" customHeight="1">
      <c r="F26" s="40">
        <f t="shared" si="7"/>
        <v>12</v>
      </c>
      <c r="G26" s="40">
        <f t="shared" si="8"/>
        <v>1899</v>
      </c>
      <c r="H26" s="40">
        <f t="shared" si="9"/>
        <v>53</v>
      </c>
    </row>
    <row r="27" ht="15.75" customHeight="1">
      <c r="F27" s="40">
        <f t="shared" si="7"/>
        <v>12</v>
      </c>
      <c r="G27" s="40">
        <f t="shared" si="8"/>
        <v>1899</v>
      </c>
      <c r="H27" s="40">
        <f t="shared" si="9"/>
        <v>53</v>
      </c>
    </row>
    <row r="28" ht="15.75" customHeight="1">
      <c r="F28" s="40">
        <f t="shared" si="7"/>
        <v>12</v>
      </c>
      <c r="G28" s="40">
        <f t="shared" si="8"/>
        <v>1899</v>
      </c>
      <c r="H28" s="40">
        <f t="shared" si="9"/>
        <v>53</v>
      </c>
    </row>
    <row r="29" ht="15.75" customHeight="1">
      <c r="F29" s="40">
        <f t="shared" si="7"/>
        <v>12</v>
      </c>
      <c r="G29" s="40">
        <f t="shared" si="8"/>
        <v>1899</v>
      </c>
      <c r="H29" s="40">
        <f t="shared" si="9"/>
        <v>53</v>
      </c>
    </row>
    <row r="30" ht="15.75" customHeight="1">
      <c r="F30" s="40">
        <f t="shared" si="7"/>
        <v>12</v>
      </c>
      <c r="G30" s="40">
        <f t="shared" si="8"/>
        <v>1899</v>
      </c>
      <c r="H30" s="40">
        <f t="shared" si="9"/>
        <v>53</v>
      </c>
    </row>
    <row r="31" ht="15.75" customHeight="1">
      <c r="F31" s="40">
        <f t="shared" si="7"/>
        <v>12</v>
      </c>
      <c r="G31" s="40">
        <f t="shared" si="8"/>
        <v>1899</v>
      </c>
      <c r="H31" s="40">
        <f t="shared" si="9"/>
        <v>53</v>
      </c>
    </row>
    <row r="32" ht="15.75" customHeight="1">
      <c r="F32" s="40">
        <f t="shared" si="7"/>
        <v>12</v>
      </c>
      <c r="G32" s="40">
        <f t="shared" si="8"/>
        <v>1899</v>
      </c>
      <c r="H32" s="40">
        <f t="shared" si="9"/>
        <v>53</v>
      </c>
    </row>
    <row r="33" ht="15.75" customHeight="1">
      <c r="F33" s="40">
        <f t="shared" si="7"/>
        <v>12</v>
      </c>
      <c r="G33" s="40">
        <f t="shared" si="8"/>
        <v>1899</v>
      </c>
      <c r="H33" s="40">
        <f t="shared" si="9"/>
        <v>53</v>
      </c>
    </row>
    <row r="34" ht="15.75" customHeight="1">
      <c r="F34" s="40">
        <f t="shared" si="7"/>
        <v>12</v>
      </c>
      <c r="G34" s="40">
        <f t="shared" si="8"/>
        <v>1899</v>
      </c>
      <c r="H34" s="40">
        <f t="shared" si="9"/>
        <v>53</v>
      </c>
    </row>
    <row r="35" ht="15.75" customHeight="1">
      <c r="F35" s="40">
        <f t="shared" si="7"/>
        <v>12</v>
      </c>
      <c r="G35" s="40">
        <f t="shared" si="8"/>
        <v>1899</v>
      </c>
      <c r="H35" s="40">
        <f t="shared" si="9"/>
        <v>53</v>
      </c>
    </row>
    <row r="36" ht="15.75" customHeight="1">
      <c r="F36" s="40">
        <f t="shared" si="7"/>
        <v>12</v>
      </c>
      <c r="G36" s="40">
        <f t="shared" si="8"/>
        <v>1899</v>
      </c>
      <c r="H36" s="40">
        <f t="shared" si="9"/>
        <v>53</v>
      </c>
    </row>
    <row r="37" ht="15.75" customHeight="1">
      <c r="F37" s="40">
        <f t="shared" si="7"/>
        <v>12</v>
      </c>
      <c r="G37" s="40">
        <f t="shared" si="8"/>
        <v>1899</v>
      </c>
      <c r="H37" s="40">
        <f t="shared" si="9"/>
        <v>53</v>
      </c>
    </row>
    <row r="38" ht="15.75" customHeight="1">
      <c r="F38" s="40">
        <f t="shared" si="7"/>
        <v>12</v>
      </c>
      <c r="G38" s="40">
        <f t="shared" si="8"/>
        <v>1899</v>
      </c>
      <c r="H38" s="40">
        <f t="shared" si="9"/>
        <v>53</v>
      </c>
    </row>
    <row r="39" ht="15.75" customHeight="1">
      <c r="F39" s="40">
        <f t="shared" si="7"/>
        <v>12</v>
      </c>
      <c r="G39" s="40">
        <f t="shared" si="8"/>
        <v>1899</v>
      </c>
      <c r="H39" s="40">
        <f t="shared" si="9"/>
        <v>53</v>
      </c>
    </row>
    <row r="40" ht="15.75" customHeight="1">
      <c r="F40" s="40">
        <f t="shared" si="7"/>
        <v>12</v>
      </c>
      <c r="G40" s="40">
        <f t="shared" si="8"/>
        <v>1899</v>
      </c>
      <c r="H40" s="40">
        <f t="shared" si="9"/>
        <v>53</v>
      </c>
    </row>
    <row r="41" ht="15.75" customHeight="1">
      <c r="F41" s="40">
        <f t="shared" si="7"/>
        <v>12</v>
      </c>
      <c r="G41" s="40">
        <f t="shared" si="8"/>
        <v>1899</v>
      </c>
      <c r="H41" s="40">
        <f t="shared" si="9"/>
        <v>53</v>
      </c>
    </row>
    <row r="42" ht="15.75" customHeight="1">
      <c r="F42" s="40">
        <f t="shared" si="7"/>
        <v>12</v>
      </c>
      <c r="G42" s="40">
        <f t="shared" si="8"/>
        <v>1899</v>
      </c>
      <c r="H42" s="40">
        <f t="shared" si="9"/>
        <v>53</v>
      </c>
    </row>
    <row r="43" ht="15.75" customHeight="1">
      <c r="F43" s="40">
        <f t="shared" si="7"/>
        <v>12</v>
      </c>
      <c r="G43" s="40">
        <f t="shared" si="8"/>
        <v>1899</v>
      </c>
      <c r="H43" s="40">
        <f t="shared" si="9"/>
        <v>53</v>
      </c>
    </row>
    <row r="44" ht="15.75" customHeight="1">
      <c r="F44" s="40">
        <f t="shared" si="7"/>
        <v>12</v>
      </c>
      <c r="G44" s="40">
        <f t="shared" si="8"/>
        <v>1899</v>
      </c>
      <c r="H44" s="40">
        <f t="shared" si="9"/>
        <v>53</v>
      </c>
    </row>
    <row r="45" ht="15.75" customHeight="1">
      <c r="F45" s="40">
        <f t="shared" si="7"/>
        <v>12</v>
      </c>
      <c r="G45" s="40">
        <f t="shared" si="8"/>
        <v>1899</v>
      </c>
      <c r="H45" s="40">
        <f t="shared" si="9"/>
        <v>53</v>
      </c>
    </row>
    <row r="46" ht="15.75" customHeight="1">
      <c r="F46" s="40">
        <f t="shared" si="7"/>
        <v>12</v>
      </c>
      <c r="G46" s="40">
        <f t="shared" si="8"/>
        <v>1899</v>
      </c>
      <c r="H46" s="40">
        <f t="shared" si="9"/>
        <v>53</v>
      </c>
    </row>
    <row r="47" ht="15.75" customHeight="1">
      <c r="F47" s="40">
        <f t="shared" si="7"/>
        <v>12</v>
      </c>
      <c r="G47" s="40">
        <f t="shared" si="8"/>
        <v>1899</v>
      </c>
      <c r="H47" s="40">
        <f t="shared" si="9"/>
        <v>53</v>
      </c>
    </row>
    <row r="48" ht="15.75" customHeight="1">
      <c r="F48" s="40">
        <f t="shared" si="7"/>
        <v>12</v>
      </c>
      <c r="G48" s="40">
        <f t="shared" si="8"/>
        <v>1899</v>
      </c>
      <c r="H48" s="40">
        <f t="shared" si="9"/>
        <v>53</v>
      </c>
    </row>
    <row r="49" ht="15.75" customHeight="1">
      <c r="F49" s="40">
        <f t="shared" si="7"/>
        <v>12</v>
      </c>
      <c r="G49" s="40">
        <f t="shared" si="8"/>
        <v>1899</v>
      </c>
      <c r="H49" s="40">
        <f t="shared" si="9"/>
        <v>53</v>
      </c>
    </row>
    <row r="50" ht="15.75" customHeight="1">
      <c r="F50" s="40">
        <f t="shared" si="7"/>
        <v>12</v>
      </c>
      <c r="G50" s="40">
        <f t="shared" si="8"/>
        <v>1899</v>
      </c>
      <c r="H50" s="40">
        <f t="shared" si="9"/>
        <v>53</v>
      </c>
    </row>
    <row r="51" ht="15.75" customHeight="1">
      <c r="F51" s="40">
        <f t="shared" si="7"/>
        <v>12</v>
      </c>
      <c r="G51" s="40">
        <f t="shared" si="8"/>
        <v>1899</v>
      </c>
      <c r="H51" s="40">
        <f t="shared" si="9"/>
        <v>53</v>
      </c>
    </row>
    <row r="52" ht="15.75" customHeight="1">
      <c r="F52" s="40">
        <f t="shared" si="7"/>
        <v>12</v>
      </c>
      <c r="G52" s="40">
        <f t="shared" si="8"/>
        <v>1899</v>
      </c>
      <c r="H52" s="40">
        <f t="shared" si="9"/>
        <v>53</v>
      </c>
    </row>
    <row r="53" ht="15.75" customHeight="1">
      <c r="F53" s="40">
        <f t="shared" si="7"/>
        <v>12</v>
      </c>
      <c r="G53" s="40">
        <f t="shared" si="8"/>
        <v>1899</v>
      </c>
      <c r="H53" s="40">
        <f t="shared" si="9"/>
        <v>53</v>
      </c>
    </row>
    <row r="54" ht="15.75" customHeight="1">
      <c r="F54" s="40">
        <f t="shared" si="7"/>
        <v>12</v>
      </c>
      <c r="G54" s="40">
        <f t="shared" si="8"/>
        <v>1899</v>
      </c>
      <c r="H54" s="40">
        <f t="shared" si="9"/>
        <v>53</v>
      </c>
    </row>
    <row r="55" ht="15.75" customHeight="1">
      <c r="F55" s="40">
        <f t="shared" si="7"/>
        <v>12</v>
      </c>
      <c r="G55" s="40">
        <f t="shared" si="8"/>
        <v>1899</v>
      </c>
      <c r="H55" s="40">
        <f t="shared" si="9"/>
        <v>53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8.0"/>
    <col customWidth="1" min="12" max="26" width="8.71"/>
  </cols>
  <sheetData>
    <row r="1">
      <c r="A1" s="15" t="s">
        <v>314</v>
      </c>
      <c r="B1" s="43" t="s">
        <v>315</v>
      </c>
      <c r="C1" s="43" t="s">
        <v>316</v>
      </c>
      <c r="D1" s="43" t="s">
        <v>317</v>
      </c>
      <c r="E1" s="43" t="s">
        <v>318</v>
      </c>
      <c r="F1" s="43" t="s">
        <v>299</v>
      </c>
      <c r="G1" s="43" t="s">
        <v>319</v>
      </c>
      <c r="H1" s="43" t="s">
        <v>320</v>
      </c>
      <c r="I1" s="43" t="s">
        <v>321</v>
      </c>
      <c r="J1" s="43" t="s">
        <v>322</v>
      </c>
      <c r="K1" s="43" t="s">
        <v>323</v>
      </c>
    </row>
    <row r="2">
      <c r="A2" s="43" t="s">
        <v>324</v>
      </c>
      <c r="B2" s="15">
        <v>9.0</v>
      </c>
    </row>
    <row r="3">
      <c r="A3" s="43" t="s">
        <v>12</v>
      </c>
      <c r="B3" s="15">
        <v>2025.0</v>
      </c>
    </row>
    <row r="4">
      <c r="A4" s="43" t="s">
        <v>325</v>
      </c>
    </row>
    <row r="5">
      <c r="A5" s="43" t="s">
        <v>326</v>
      </c>
    </row>
    <row r="6">
      <c r="A6" s="43" t="s">
        <v>327</v>
      </c>
    </row>
    <row r="7">
      <c r="A7" s="15" t="s">
        <v>328</v>
      </c>
      <c r="B7" s="15">
        <f>SUMIFS(Servicios!G:G,Servicios!L:L,$B$3,Servicios!K:K,$B$2,Servicios!M:M,1)</f>
        <v>0</v>
      </c>
      <c r="D7" s="15">
        <f t="shared" ref="D7:D46" si="1">B7+C7</f>
        <v>0</v>
      </c>
      <c r="E7" s="15">
        <f>SUMIFS(Gastos!D:D,Gastos!G:G,$B$3,Gastos!F:F,$B$2,Gastos!H:H,1,Gastos!B:B,"Insumos")</f>
        <v>0</v>
      </c>
      <c r="F7" s="15">
        <f>SUMIFS(Gastos!D:D,Gastos!G:G,$B$3,Gastos!F:F,$B$2,Gastos!H:H,1,Gastos!B:B,"Combustible")</f>
        <v>0</v>
      </c>
      <c r="G7" s="15">
        <f>SUMIFS(Gastos!D:D,Gastos!G:G,$B$3,Gastos!F:F,$B$2,Gastos!H:H,1,Gastos!B:B,"Sueldos")</f>
        <v>0</v>
      </c>
      <c r="H7" s="15">
        <f>SUMIFS(Gastos!D:D,Gastos!G:G,$B$3,Gastos!F:F,$B$2,Gastos!H:H,1,Gastos!B:B,"Otros")</f>
        <v>0</v>
      </c>
      <c r="I7" s="15">
        <f t="shared" ref="I7:I46" si="2">E7+F7+G7+H7</f>
        <v>0</v>
      </c>
      <c r="J7" s="15">
        <f t="shared" ref="J7:J46" si="3">D7-I7</f>
        <v>0</v>
      </c>
      <c r="K7" s="15">
        <f>J7</f>
        <v>0</v>
      </c>
    </row>
    <row r="8">
      <c r="A8" s="15" t="s">
        <v>329</v>
      </c>
      <c r="B8" s="15">
        <f>SUMIFS(Servicios!G:G,Servicios!L:L,$B$3,Servicios!K:K,$B$2,Servicios!M:M,2)</f>
        <v>0</v>
      </c>
      <c r="D8" s="15">
        <f t="shared" si="1"/>
        <v>0</v>
      </c>
      <c r="E8" s="15">
        <f>SUMIFS(Gastos!D:D,Gastos!G:G,$B$3,Gastos!F:F,$B$2,Gastos!H:H,2,Gastos!B:B,"Insumos")</f>
        <v>0</v>
      </c>
      <c r="F8" s="15">
        <f>SUMIFS(Gastos!D:D,Gastos!G:G,$B$3,Gastos!F:F,$B$2,Gastos!H:H,2,Gastos!B:B,"Combustible")</f>
        <v>0</v>
      </c>
      <c r="G8" s="15">
        <f>SUMIFS(Gastos!D:D,Gastos!G:G,$B$3,Gastos!F:F,$B$2,Gastos!H:H,2,Gastos!B:B,"Sueldos")</f>
        <v>0</v>
      </c>
      <c r="H8" s="15">
        <f>SUMIFS(Gastos!D:D,Gastos!G:G,$B$3,Gastos!F:F,$B$2,Gastos!H:H,2,Gastos!B:B,"Otros")</f>
        <v>0</v>
      </c>
      <c r="I8" s="15">
        <f t="shared" si="2"/>
        <v>0</v>
      </c>
      <c r="J8" s="15">
        <f t="shared" si="3"/>
        <v>0</v>
      </c>
      <c r="K8" s="15">
        <f t="shared" ref="K8:K46" si="4">K7+J8</f>
        <v>0</v>
      </c>
    </row>
    <row r="9">
      <c r="A9" s="15" t="s">
        <v>325</v>
      </c>
      <c r="B9" s="15">
        <f>SUMIFS(Servicios!G:G,Servicios!L:L,$B$3,Servicios!K:K,$B$2,Servicios!M:M,3)</f>
        <v>0</v>
      </c>
      <c r="D9" s="15">
        <f t="shared" si="1"/>
        <v>0</v>
      </c>
      <c r="E9" s="15">
        <f>SUMIFS(Gastos!D:D,Gastos!G:G,$B$3,Gastos!F:F,$B$2,Gastos!H:H,3,Gastos!B:B,"Insumos")</f>
        <v>0</v>
      </c>
      <c r="F9" s="15">
        <f>SUMIFS(Gastos!D:D,Gastos!G:G,$B$3,Gastos!F:F,$B$2,Gastos!H:H,3,Gastos!B:B,"Combustible")</f>
        <v>0</v>
      </c>
      <c r="G9" s="15">
        <f>SUMIFS(Gastos!D:D,Gastos!G:G,$B$3,Gastos!F:F,$B$2,Gastos!H:H,3,Gastos!B:B,"Sueldos")</f>
        <v>0</v>
      </c>
      <c r="H9" s="15">
        <f>SUMIFS(Gastos!D:D,Gastos!G:G,$B$3,Gastos!F:F,$B$2,Gastos!H:H,3,Gastos!B:B,"Otros")</f>
        <v>0</v>
      </c>
      <c r="I9" s="15">
        <f t="shared" si="2"/>
        <v>0</v>
      </c>
      <c r="J9" s="15">
        <f t="shared" si="3"/>
        <v>0</v>
      </c>
      <c r="K9" s="15">
        <f t="shared" si="4"/>
        <v>0</v>
      </c>
    </row>
    <row r="10">
      <c r="A10" s="15" t="s">
        <v>330</v>
      </c>
      <c r="B10" s="15">
        <f>SUMIFS(Servicios!G:G,Servicios!L:L,$B$3,Servicios!K:K,$B$2,Servicios!M:M,4)</f>
        <v>0</v>
      </c>
      <c r="D10" s="15">
        <f t="shared" si="1"/>
        <v>0</v>
      </c>
      <c r="E10" s="15">
        <f>SUMIFS(Gastos!D:D,Gastos!G:G,$B$3,Gastos!F:F,$B$2,Gastos!H:H,4,Gastos!B:B,"Insumos")</f>
        <v>0</v>
      </c>
      <c r="F10" s="15">
        <f>SUMIFS(Gastos!D:D,Gastos!G:G,$B$3,Gastos!F:F,$B$2,Gastos!H:H,4,Gastos!B:B,"Combustible")</f>
        <v>0</v>
      </c>
      <c r="G10" s="15">
        <f>SUMIFS(Gastos!D:D,Gastos!G:G,$B$3,Gastos!F:F,$B$2,Gastos!H:H,4,Gastos!B:B,"Sueldos")</f>
        <v>0</v>
      </c>
      <c r="H10" s="15">
        <f>SUMIFS(Gastos!D:D,Gastos!G:G,$B$3,Gastos!F:F,$B$2,Gastos!H:H,4,Gastos!B:B,"Otros")</f>
        <v>0</v>
      </c>
      <c r="I10" s="15">
        <f t="shared" si="2"/>
        <v>0</v>
      </c>
      <c r="J10" s="15">
        <f t="shared" si="3"/>
        <v>0</v>
      </c>
      <c r="K10" s="15">
        <f t="shared" si="4"/>
        <v>0</v>
      </c>
    </row>
    <row r="11">
      <c r="A11" s="15" t="s">
        <v>327</v>
      </c>
      <c r="B11" s="15">
        <f>SUMIFS(Servicios!G:G,Servicios!L:L,$B$3,Servicios!K:K,$B$2,Servicios!M:M,5)</f>
        <v>0</v>
      </c>
      <c r="D11" s="15">
        <f t="shared" si="1"/>
        <v>0</v>
      </c>
      <c r="E11" s="15">
        <f>SUMIFS(Gastos!D:D,Gastos!G:G,$B$3,Gastos!F:F,$B$2,Gastos!H:H,5,Gastos!B:B,"Insumos")</f>
        <v>0</v>
      </c>
      <c r="F11" s="15">
        <f>SUMIFS(Gastos!D:D,Gastos!G:G,$B$3,Gastos!F:F,$B$2,Gastos!H:H,5,Gastos!B:B,"Combustible")</f>
        <v>0</v>
      </c>
      <c r="G11" s="15">
        <f>SUMIFS(Gastos!D:D,Gastos!G:G,$B$3,Gastos!F:F,$B$2,Gastos!H:H,5,Gastos!B:B,"Sueldos")</f>
        <v>0</v>
      </c>
      <c r="H11" s="15">
        <f>SUMIFS(Gastos!D:D,Gastos!G:G,$B$3,Gastos!F:F,$B$2,Gastos!H:H,5,Gastos!B:B,"Otros")</f>
        <v>0</v>
      </c>
      <c r="I11" s="15">
        <f t="shared" si="2"/>
        <v>0</v>
      </c>
      <c r="J11" s="15">
        <f t="shared" si="3"/>
        <v>0</v>
      </c>
      <c r="K11" s="15">
        <f t="shared" si="4"/>
        <v>0</v>
      </c>
    </row>
    <row r="12">
      <c r="A12" s="15" t="s">
        <v>331</v>
      </c>
      <c r="B12" s="15">
        <f>SUMIFS(Servicios!G:G,Servicios!L:L,$B$3,Servicios!K:K,$B$2,Servicios!M:M,5)</f>
        <v>0</v>
      </c>
      <c r="D12" s="15">
        <f t="shared" si="1"/>
        <v>0</v>
      </c>
      <c r="E12" s="15">
        <f>SUMIFS(Gastos!D:D,Gastos!G:G,$B$3,Gastos!F:F,$B$2,Gastos!H:H,5,Gastos!B:B,"Insumos")</f>
        <v>0</v>
      </c>
      <c r="F12" s="15">
        <f>SUMIFS(Gastos!D:D,Gastos!G:G,$B$3,Gastos!F:F,$B$2,Gastos!H:H,5,Gastos!B:B,"Combustible")</f>
        <v>0</v>
      </c>
      <c r="G12" s="15">
        <f>SUMIFS(Gastos!D:D,Gastos!G:G,$B$3,Gastos!F:F,$B$2,Gastos!H:H,5,Gastos!B:B,"Sueldos")</f>
        <v>0</v>
      </c>
      <c r="H12" s="15">
        <f>SUMIFS(Gastos!D:D,Gastos!G:G,$B$3,Gastos!F:F,$B$2,Gastos!H:H,5,Gastos!B:B,"Otros")</f>
        <v>0</v>
      </c>
      <c r="I12" s="15">
        <f t="shared" si="2"/>
        <v>0</v>
      </c>
      <c r="J12" s="15">
        <f t="shared" si="3"/>
        <v>0</v>
      </c>
      <c r="K12" s="15">
        <f t="shared" si="4"/>
        <v>0</v>
      </c>
    </row>
    <row r="13">
      <c r="A13" s="15" t="s">
        <v>332</v>
      </c>
      <c r="B13" s="15">
        <f>SUMIFS(Servicios!G:G,Servicios!L:L,$B$3,Servicios!K:K,$B$2,Servicios!M:M,5)</f>
        <v>0</v>
      </c>
      <c r="D13" s="15">
        <f t="shared" si="1"/>
        <v>0</v>
      </c>
      <c r="E13" s="15">
        <f>SUMIFS(Gastos!D:D,Gastos!G:G,$B$3,Gastos!F:F,$B$2,Gastos!H:H,5,Gastos!B:B,"Insumos")</f>
        <v>0</v>
      </c>
      <c r="F13" s="15">
        <f>SUMIFS(Gastos!D:D,Gastos!G:G,$B$3,Gastos!F:F,$B$2,Gastos!H:H,5,Gastos!B:B,"Combustible")</f>
        <v>0</v>
      </c>
      <c r="G13" s="15">
        <f>SUMIFS(Gastos!D:D,Gastos!G:G,$B$3,Gastos!F:F,$B$2,Gastos!H:H,5,Gastos!B:B,"Sueldos")</f>
        <v>0</v>
      </c>
      <c r="H13" s="15">
        <f>SUMIFS(Gastos!D:D,Gastos!G:G,$B$3,Gastos!F:F,$B$2,Gastos!H:H,5,Gastos!B:B,"Otros")</f>
        <v>0</v>
      </c>
      <c r="I13" s="15">
        <f t="shared" si="2"/>
        <v>0</v>
      </c>
      <c r="J13" s="15">
        <f t="shared" si="3"/>
        <v>0</v>
      </c>
      <c r="K13" s="15">
        <f t="shared" si="4"/>
        <v>0</v>
      </c>
    </row>
    <row r="14">
      <c r="A14" s="15" t="s">
        <v>333</v>
      </c>
      <c r="B14" s="15">
        <f>SUMIFS(Servicios!G:G,Servicios!L:L,$B$3,Servicios!K:K,$B$2,Servicios!M:M,5)</f>
        <v>0</v>
      </c>
      <c r="D14" s="15">
        <f t="shared" si="1"/>
        <v>0</v>
      </c>
      <c r="E14" s="15">
        <f>SUMIFS(Gastos!D:D,Gastos!G:G,$B$3,Gastos!F:F,$B$2,Gastos!H:H,5,Gastos!B:B,"Insumos")</f>
        <v>0</v>
      </c>
      <c r="F14" s="15">
        <f>SUMIFS(Gastos!D:D,Gastos!G:G,$B$3,Gastos!F:F,$B$2,Gastos!H:H,5,Gastos!B:B,"Combustible")</f>
        <v>0</v>
      </c>
      <c r="G14" s="15">
        <f>SUMIFS(Gastos!D:D,Gastos!G:G,$B$3,Gastos!F:F,$B$2,Gastos!H:H,5,Gastos!B:B,"Sueldos")</f>
        <v>0</v>
      </c>
      <c r="H14" s="15">
        <f>SUMIFS(Gastos!D:D,Gastos!G:G,$B$3,Gastos!F:F,$B$2,Gastos!H:H,5,Gastos!B:B,"Otros")</f>
        <v>0</v>
      </c>
      <c r="I14" s="15">
        <f t="shared" si="2"/>
        <v>0</v>
      </c>
      <c r="J14" s="15">
        <f t="shared" si="3"/>
        <v>0</v>
      </c>
      <c r="K14" s="15">
        <f t="shared" si="4"/>
        <v>0</v>
      </c>
    </row>
    <row r="15">
      <c r="A15" s="15" t="s">
        <v>334</v>
      </c>
      <c r="B15" s="15">
        <f>SUMIFS(Servicios!G:G,Servicios!L:L,$B$3,Servicios!K:K,$B$2,Servicios!M:M,5)</f>
        <v>0</v>
      </c>
      <c r="D15" s="15">
        <f t="shared" si="1"/>
        <v>0</v>
      </c>
      <c r="E15" s="15">
        <f>SUMIFS(Gastos!D:D,Gastos!G:G,$B$3,Gastos!F:F,$B$2,Gastos!H:H,5,Gastos!B:B,"Insumos")</f>
        <v>0</v>
      </c>
      <c r="F15" s="15">
        <f>SUMIFS(Gastos!D:D,Gastos!G:G,$B$3,Gastos!F:F,$B$2,Gastos!H:H,5,Gastos!B:B,"Combustible")</f>
        <v>0</v>
      </c>
      <c r="G15" s="15">
        <f>SUMIFS(Gastos!D:D,Gastos!G:G,$B$3,Gastos!F:F,$B$2,Gastos!H:H,5,Gastos!B:B,"Sueldos")</f>
        <v>0</v>
      </c>
      <c r="H15" s="15">
        <f>SUMIFS(Gastos!D:D,Gastos!G:G,$B$3,Gastos!F:F,$B$2,Gastos!H:H,5,Gastos!B:B,"Otros")</f>
        <v>0</v>
      </c>
      <c r="I15" s="15">
        <f t="shared" si="2"/>
        <v>0</v>
      </c>
      <c r="J15" s="15">
        <f t="shared" si="3"/>
        <v>0</v>
      </c>
      <c r="K15" s="15">
        <f t="shared" si="4"/>
        <v>0</v>
      </c>
    </row>
    <row r="16">
      <c r="A16" s="15" t="s">
        <v>335</v>
      </c>
      <c r="B16" s="15">
        <f>SUMIFS(Servicios!G:G,Servicios!L:L,$B$3,Servicios!K:K,$B$2,Servicios!M:M,5)</f>
        <v>0</v>
      </c>
      <c r="D16" s="15">
        <f t="shared" si="1"/>
        <v>0</v>
      </c>
      <c r="E16" s="15">
        <f>SUMIFS(Gastos!D:D,Gastos!G:G,$B$3,Gastos!F:F,$B$2,Gastos!H:H,5,Gastos!B:B,"Insumos")</f>
        <v>0</v>
      </c>
      <c r="F16" s="15">
        <f>SUMIFS(Gastos!D:D,Gastos!G:G,$B$3,Gastos!F:F,$B$2,Gastos!H:H,5,Gastos!B:B,"Combustible")</f>
        <v>0</v>
      </c>
      <c r="G16" s="15">
        <f>SUMIFS(Gastos!D:D,Gastos!G:G,$B$3,Gastos!F:F,$B$2,Gastos!H:H,5,Gastos!B:B,"Sueldos")</f>
        <v>0</v>
      </c>
      <c r="H16" s="15">
        <f>SUMIFS(Gastos!D:D,Gastos!G:G,$B$3,Gastos!F:F,$B$2,Gastos!H:H,5,Gastos!B:B,"Otros")</f>
        <v>0</v>
      </c>
      <c r="I16" s="15">
        <f t="shared" si="2"/>
        <v>0</v>
      </c>
      <c r="J16" s="15">
        <f t="shared" si="3"/>
        <v>0</v>
      </c>
      <c r="K16" s="15">
        <f t="shared" si="4"/>
        <v>0</v>
      </c>
    </row>
    <row r="17">
      <c r="A17" s="15" t="s">
        <v>336</v>
      </c>
      <c r="B17" s="15">
        <f>SUMIFS(Servicios!G:G,Servicios!L:L,$B$3,Servicios!K:K,$B$2,Servicios!M:M,5)</f>
        <v>0</v>
      </c>
      <c r="D17" s="15">
        <f t="shared" si="1"/>
        <v>0</v>
      </c>
      <c r="E17" s="15">
        <f>SUMIFS(Gastos!D:D,Gastos!G:G,$B$3,Gastos!F:F,$B$2,Gastos!H:H,5,Gastos!B:B,"Insumos")</f>
        <v>0</v>
      </c>
      <c r="F17" s="15">
        <f>SUMIFS(Gastos!D:D,Gastos!G:G,$B$3,Gastos!F:F,$B$2,Gastos!H:H,5,Gastos!B:B,"Combustible")</f>
        <v>0</v>
      </c>
      <c r="G17" s="15">
        <f>SUMIFS(Gastos!D:D,Gastos!G:G,$B$3,Gastos!F:F,$B$2,Gastos!H:H,5,Gastos!B:B,"Sueldos")</f>
        <v>0</v>
      </c>
      <c r="H17" s="15">
        <f>SUMIFS(Gastos!D:D,Gastos!G:G,$B$3,Gastos!F:F,$B$2,Gastos!H:H,5,Gastos!B:B,"Otros")</f>
        <v>0</v>
      </c>
      <c r="I17" s="15">
        <f t="shared" si="2"/>
        <v>0</v>
      </c>
      <c r="J17" s="15">
        <f t="shared" si="3"/>
        <v>0</v>
      </c>
      <c r="K17" s="15">
        <f t="shared" si="4"/>
        <v>0</v>
      </c>
    </row>
    <row r="18">
      <c r="A18" s="15" t="s">
        <v>337</v>
      </c>
      <c r="B18" s="15">
        <f>SUMIFS(Servicios!G:G,Servicios!L:L,$B$3,Servicios!K:K,$B$2,Servicios!M:M,5)</f>
        <v>0</v>
      </c>
      <c r="D18" s="15">
        <f t="shared" si="1"/>
        <v>0</v>
      </c>
      <c r="E18" s="15">
        <f>SUMIFS(Gastos!D:D,Gastos!G:G,$B$3,Gastos!F:F,$B$2,Gastos!H:H,5,Gastos!B:B,"Insumos")</f>
        <v>0</v>
      </c>
      <c r="F18" s="15">
        <f>SUMIFS(Gastos!D:D,Gastos!G:G,$B$3,Gastos!F:F,$B$2,Gastos!H:H,5,Gastos!B:B,"Combustible")</f>
        <v>0</v>
      </c>
      <c r="G18" s="15">
        <f>SUMIFS(Gastos!D:D,Gastos!G:G,$B$3,Gastos!F:F,$B$2,Gastos!H:H,5,Gastos!B:B,"Sueldos")</f>
        <v>0</v>
      </c>
      <c r="H18" s="15">
        <f>SUMIFS(Gastos!D:D,Gastos!G:G,$B$3,Gastos!F:F,$B$2,Gastos!H:H,5,Gastos!B:B,"Otros")</f>
        <v>0</v>
      </c>
      <c r="I18" s="15">
        <f t="shared" si="2"/>
        <v>0</v>
      </c>
      <c r="J18" s="15">
        <f t="shared" si="3"/>
        <v>0</v>
      </c>
      <c r="K18" s="15">
        <f t="shared" si="4"/>
        <v>0</v>
      </c>
    </row>
    <row r="19">
      <c r="A19" s="15" t="s">
        <v>338</v>
      </c>
      <c r="B19" s="15">
        <f>SUMIFS(Servicios!G:G,Servicios!L:L,$B$3,Servicios!K:K,$B$2,Servicios!M:M,5)</f>
        <v>0</v>
      </c>
      <c r="D19" s="15">
        <f t="shared" si="1"/>
        <v>0</v>
      </c>
      <c r="E19" s="15">
        <f>SUMIFS(Gastos!D:D,Gastos!G:G,$B$3,Gastos!F:F,$B$2,Gastos!H:H,5,Gastos!B:B,"Insumos")</f>
        <v>0</v>
      </c>
      <c r="F19" s="15">
        <f>SUMIFS(Gastos!D:D,Gastos!G:G,$B$3,Gastos!F:F,$B$2,Gastos!H:H,5,Gastos!B:B,"Combustible")</f>
        <v>0</v>
      </c>
      <c r="G19" s="15">
        <f>SUMIFS(Gastos!D:D,Gastos!G:G,$B$3,Gastos!F:F,$B$2,Gastos!H:H,5,Gastos!B:B,"Sueldos")</f>
        <v>0</v>
      </c>
      <c r="H19" s="15">
        <f>SUMIFS(Gastos!D:D,Gastos!G:G,$B$3,Gastos!F:F,$B$2,Gastos!H:H,5,Gastos!B:B,"Otros")</f>
        <v>0</v>
      </c>
      <c r="I19" s="15">
        <f t="shared" si="2"/>
        <v>0</v>
      </c>
      <c r="J19" s="15">
        <f t="shared" si="3"/>
        <v>0</v>
      </c>
      <c r="K19" s="15">
        <f t="shared" si="4"/>
        <v>0</v>
      </c>
    </row>
    <row r="20">
      <c r="A20" s="15" t="s">
        <v>339</v>
      </c>
      <c r="B20" s="15">
        <f>SUMIFS(Servicios!G:G,Servicios!L:L,$B$3,Servicios!K:K,$B$2,Servicios!M:M,5)</f>
        <v>0</v>
      </c>
      <c r="D20" s="15">
        <f t="shared" si="1"/>
        <v>0</v>
      </c>
      <c r="E20" s="15">
        <f>SUMIFS(Gastos!D:D,Gastos!G:G,$B$3,Gastos!F:F,$B$2,Gastos!H:H,5,Gastos!B:B,"Insumos")</f>
        <v>0</v>
      </c>
      <c r="F20" s="15">
        <f>SUMIFS(Gastos!D:D,Gastos!G:G,$B$3,Gastos!F:F,$B$2,Gastos!H:H,5,Gastos!B:B,"Combustible")</f>
        <v>0</v>
      </c>
      <c r="G20" s="15">
        <f>SUMIFS(Gastos!D:D,Gastos!G:G,$B$3,Gastos!F:F,$B$2,Gastos!H:H,5,Gastos!B:B,"Sueldos")</f>
        <v>0</v>
      </c>
      <c r="H20" s="15">
        <f>SUMIFS(Gastos!D:D,Gastos!G:G,$B$3,Gastos!F:F,$B$2,Gastos!H:H,5,Gastos!B:B,"Otros")</f>
        <v>0</v>
      </c>
      <c r="I20" s="15">
        <f t="shared" si="2"/>
        <v>0</v>
      </c>
      <c r="J20" s="15">
        <f t="shared" si="3"/>
        <v>0</v>
      </c>
      <c r="K20" s="15">
        <f t="shared" si="4"/>
        <v>0</v>
      </c>
    </row>
    <row r="21" ht="15.75" customHeight="1">
      <c r="A21" s="15" t="s">
        <v>340</v>
      </c>
      <c r="B21" s="15">
        <f>SUMIFS(Servicios!G:G,Servicios!L:L,$B$3,Servicios!K:K,$B$2,Servicios!M:M,5)</f>
        <v>0</v>
      </c>
      <c r="D21" s="15">
        <f t="shared" si="1"/>
        <v>0</v>
      </c>
      <c r="E21" s="15">
        <f>SUMIFS(Gastos!D:D,Gastos!G:G,$B$3,Gastos!F:F,$B$2,Gastos!H:H,5,Gastos!B:B,"Insumos")</f>
        <v>0</v>
      </c>
      <c r="F21" s="15">
        <f>SUMIFS(Gastos!D:D,Gastos!G:G,$B$3,Gastos!F:F,$B$2,Gastos!H:H,5,Gastos!B:B,"Combustible")</f>
        <v>0</v>
      </c>
      <c r="G21" s="15">
        <f>SUMIFS(Gastos!D:D,Gastos!G:G,$B$3,Gastos!F:F,$B$2,Gastos!H:H,5,Gastos!B:B,"Sueldos")</f>
        <v>0</v>
      </c>
      <c r="H21" s="15">
        <f>SUMIFS(Gastos!D:D,Gastos!G:G,$B$3,Gastos!F:F,$B$2,Gastos!H:H,5,Gastos!B:B,"Otros")</f>
        <v>0</v>
      </c>
      <c r="I21" s="15">
        <f t="shared" si="2"/>
        <v>0</v>
      </c>
      <c r="J21" s="15">
        <f t="shared" si="3"/>
        <v>0</v>
      </c>
      <c r="K21" s="15">
        <f t="shared" si="4"/>
        <v>0</v>
      </c>
    </row>
    <row r="22" ht="15.75" customHeight="1">
      <c r="A22" s="15" t="s">
        <v>341</v>
      </c>
      <c r="B22" s="15">
        <f>SUMIFS(Servicios!G:G,Servicios!L:L,$B$3,Servicios!K:K,$B$2,Servicios!M:M,5)</f>
        <v>0</v>
      </c>
      <c r="D22" s="15">
        <f t="shared" si="1"/>
        <v>0</v>
      </c>
      <c r="E22" s="15">
        <f>SUMIFS(Gastos!D:D,Gastos!G:G,$B$3,Gastos!F:F,$B$2,Gastos!H:H,5,Gastos!B:B,"Insumos")</f>
        <v>0</v>
      </c>
      <c r="F22" s="15">
        <f>SUMIFS(Gastos!D:D,Gastos!G:G,$B$3,Gastos!F:F,$B$2,Gastos!H:H,5,Gastos!B:B,"Combustible")</f>
        <v>0</v>
      </c>
      <c r="G22" s="15">
        <f>SUMIFS(Gastos!D:D,Gastos!G:G,$B$3,Gastos!F:F,$B$2,Gastos!H:H,5,Gastos!B:B,"Sueldos")</f>
        <v>0</v>
      </c>
      <c r="H22" s="15">
        <f>SUMIFS(Gastos!D:D,Gastos!G:G,$B$3,Gastos!F:F,$B$2,Gastos!H:H,5,Gastos!B:B,"Otros")</f>
        <v>0</v>
      </c>
      <c r="I22" s="15">
        <f t="shared" si="2"/>
        <v>0</v>
      </c>
      <c r="J22" s="15">
        <f t="shared" si="3"/>
        <v>0</v>
      </c>
      <c r="K22" s="15">
        <f t="shared" si="4"/>
        <v>0</v>
      </c>
    </row>
    <row r="23" ht="15.75" customHeight="1">
      <c r="A23" s="15" t="s">
        <v>342</v>
      </c>
      <c r="B23" s="15">
        <f>SUMIFS(Servicios!G:G,Servicios!L:L,$B$3,Servicios!K:K,$B$2,Servicios!M:M,5)</f>
        <v>0</v>
      </c>
      <c r="D23" s="15">
        <f t="shared" si="1"/>
        <v>0</v>
      </c>
      <c r="E23" s="15">
        <f>SUMIFS(Gastos!D:D,Gastos!G:G,$B$3,Gastos!F:F,$B$2,Gastos!H:H,5,Gastos!B:B,"Insumos")</f>
        <v>0</v>
      </c>
      <c r="F23" s="15">
        <f>SUMIFS(Gastos!D:D,Gastos!G:G,$B$3,Gastos!F:F,$B$2,Gastos!H:H,5,Gastos!B:B,"Combustible")</f>
        <v>0</v>
      </c>
      <c r="G23" s="15">
        <f>SUMIFS(Gastos!D:D,Gastos!G:G,$B$3,Gastos!F:F,$B$2,Gastos!H:H,5,Gastos!B:B,"Sueldos")</f>
        <v>0</v>
      </c>
      <c r="H23" s="15">
        <f>SUMIFS(Gastos!D:D,Gastos!G:G,$B$3,Gastos!F:F,$B$2,Gastos!H:H,5,Gastos!B:B,"Otros")</f>
        <v>0</v>
      </c>
      <c r="I23" s="15">
        <f t="shared" si="2"/>
        <v>0</v>
      </c>
      <c r="J23" s="15">
        <f t="shared" si="3"/>
        <v>0</v>
      </c>
      <c r="K23" s="15">
        <f t="shared" si="4"/>
        <v>0</v>
      </c>
    </row>
    <row r="24" ht="15.75" customHeight="1">
      <c r="A24" s="15" t="s">
        <v>343</v>
      </c>
      <c r="B24" s="15">
        <f>SUMIFS(Servicios!G:G,Servicios!L:L,$B$3,Servicios!K:K,$B$2,Servicios!M:M,5)</f>
        <v>0</v>
      </c>
      <c r="D24" s="15">
        <f t="shared" si="1"/>
        <v>0</v>
      </c>
      <c r="E24" s="15">
        <f>SUMIFS(Gastos!D:D,Gastos!G:G,$B$3,Gastos!F:F,$B$2,Gastos!H:H,5,Gastos!B:B,"Insumos")</f>
        <v>0</v>
      </c>
      <c r="F24" s="15">
        <f>SUMIFS(Gastos!D:D,Gastos!G:G,$B$3,Gastos!F:F,$B$2,Gastos!H:H,5,Gastos!B:B,"Combustible")</f>
        <v>0</v>
      </c>
      <c r="G24" s="15">
        <f>SUMIFS(Gastos!D:D,Gastos!G:G,$B$3,Gastos!F:F,$B$2,Gastos!H:H,5,Gastos!B:B,"Sueldos")</f>
        <v>0</v>
      </c>
      <c r="H24" s="15">
        <f>SUMIFS(Gastos!D:D,Gastos!G:G,$B$3,Gastos!F:F,$B$2,Gastos!H:H,5,Gastos!B:B,"Otros")</f>
        <v>0</v>
      </c>
      <c r="I24" s="15">
        <f t="shared" si="2"/>
        <v>0</v>
      </c>
      <c r="J24" s="15">
        <f t="shared" si="3"/>
        <v>0</v>
      </c>
      <c r="K24" s="15">
        <f t="shared" si="4"/>
        <v>0</v>
      </c>
    </row>
    <row r="25" ht="15.75" customHeight="1">
      <c r="A25" s="15" t="s">
        <v>344</v>
      </c>
      <c r="B25" s="15">
        <f>SUMIFS(Servicios!G:G,Servicios!L:L,$B$3,Servicios!K:K,$B$2,Servicios!M:M,5)</f>
        <v>0</v>
      </c>
      <c r="D25" s="15">
        <f t="shared" si="1"/>
        <v>0</v>
      </c>
      <c r="E25" s="15">
        <f>SUMIFS(Gastos!D:D,Gastos!G:G,$B$3,Gastos!F:F,$B$2,Gastos!H:H,5,Gastos!B:B,"Insumos")</f>
        <v>0</v>
      </c>
      <c r="F25" s="15">
        <f>SUMIFS(Gastos!D:D,Gastos!G:G,$B$3,Gastos!F:F,$B$2,Gastos!H:H,5,Gastos!B:B,"Combustible")</f>
        <v>0</v>
      </c>
      <c r="G25" s="15">
        <f>SUMIFS(Gastos!D:D,Gastos!G:G,$B$3,Gastos!F:F,$B$2,Gastos!H:H,5,Gastos!B:B,"Sueldos")</f>
        <v>0</v>
      </c>
      <c r="H25" s="15">
        <f>SUMIFS(Gastos!D:D,Gastos!G:G,$B$3,Gastos!F:F,$B$2,Gastos!H:H,5,Gastos!B:B,"Otros")</f>
        <v>0</v>
      </c>
      <c r="I25" s="15">
        <f t="shared" si="2"/>
        <v>0</v>
      </c>
      <c r="J25" s="15">
        <f t="shared" si="3"/>
        <v>0</v>
      </c>
      <c r="K25" s="15">
        <f t="shared" si="4"/>
        <v>0</v>
      </c>
    </row>
    <row r="26" ht="15.75" customHeight="1">
      <c r="A26" s="15" t="s">
        <v>345</v>
      </c>
      <c r="B26" s="15">
        <f>SUMIFS(Servicios!G:G,Servicios!L:L,$B$3,Servicios!K:K,$B$2,Servicios!M:M,5)</f>
        <v>0</v>
      </c>
      <c r="D26" s="15">
        <f t="shared" si="1"/>
        <v>0</v>
      </c>
      <c r="E26" s="15">
        <f>SUMIFS(Gastos!D:D,Gastos!G:G,$B$3,Gastos!F:F,$B$2,Gastos!H:H,5,Gastos!B:B,"Insumos")</f>
        <v>0</v>
      </c>
      <c r="F26" s="15">
        <f>SUMIFS(Gastos!D:D,Gastos!G:G,$B$3,Gastos!F:F,$B$2,Gastos!H:H,5,Gastos!B:B,"Combustible")</f>
        <v>0</v>
      </c>
      <c r="G26" s="15">
        <f>SUMIFS(Gastos!D:D,Gastos!G:G,$B$3,Gastos!F:F,$B$2,Gastos!H:H,5,Gastos!B:B,"Sueldos")</f>
        <v>0</v>
      </c>
      <c r="H26" s="15">
        <f>SUMIFS(Gastos!D:D,Gastos!G:G,$B$3,Gastos!F:F,$B$2,Gastos!H:H,5,Gastos!B:B,"Otros")</f>
        <v>0</v>
      </c>
      <c r="I26" s="15">
        <f t="shared" si="2"/>
        <v>0</v>
      </c>
      <c r="J26" s="15">
        <f t="shared" si="3"/>
        <v>0</v>
      </c>
      <c r="K26" s="15">
        <f t="shared" si="4"/>
        <v>0</v>
      </c>
    </row>
    <row r="27" ht="15.75" customHeight="1">
      <c r="A27" s="15" t="s">
        <v>346</v>
      </c>
      <c r="B27" s="15">
        <f>SUMIFS(Servicios!G:G,Servicios!L:L,$B$3,Servicios!K:K,$B$2,Servicios!M:M,5)</f>
        <v>0</v>
      </c>
      <c r="D27" s="15">
        <f t="shared" si="1"/>
        <v>0</v>
      </c>
      <c r="E27" s="15">
        <f>SUMIFS(Gastos!D:D,Gastos!G:G,$B$3,Gastos!F:F,$B$2,Gastos!H:H,5,Gastos!B:B,"Insumos")</f>
        <v>0</v>
      </c>
      <c r="F27" s="15">
        <f>SUMIFS(Gastos!D:D,Gastos!G:G,$B$3,Gastos!F:F,$B$2,Gastos!H:H,5,Gastos!B:B,"Combustible")</f>
        <v>0</v>
      </c>
      <c r="G27" s="15">
        <f>SUMIFS(Gastos!D:D,Gastos!G:G,$B$3,Gastos!F:F,$B$2,Gastos!H:H,5,Gastos!B:B,"Sueldos")</f>
        <v>0</v>
      </c>
      <c r="H27" s="15">
        <f>SUMIFS(Gastos!D:D,Gastos!G:G,$B$3,Gastos!F:F,$B$2,Gastos!H:H,5,Gastos!B:B,"Otros")</f>
        <v>0</v>
      </c>
      <c r="I27" s="15">
        <f t="shared" si="2"/>
        <v>0</v>
      </c>
      <c r="J27" s="15">
        <f t="shared" si="3"/>
        <v>0</v>
      </c>
      <c r="K27" s="15">
        <f t="shared" si="4"/>
        <v>0</v>
      </c>
    </row>
    <row r="28" ht="15.75" customHeight="1">
      <c r="A28" s="15" t="s">
        <v>347</v>
      </c>
      <c r="B28" s="15">
        <f>SUMIFS(Servicios!G:G,Servicios!L:L,$B$3,Servicios!K:K,$B$2,Servicios!M:M,5)</f>
        <v>0</v>
      </c>
      <c r="D28" s="15">
        <f t="shared" si="1"/>
        <v>0</v>
      </c>
      <c r="E28" s="15">
        <f>SUMIFS(Gastos!D:D,Gastos!G:G,$B$3,Gastos!F:F,$B$2,Gastos!H:H,5,Gastos!B:B,"Insumos")</f>
        <v>0</v>
      </c>
      <c r="F28" s="15">
        <f>SUMIFS(Gastos!D:D,Gastos!G:G,$B$3,Gastos!F:F,$B$2,Gastos!H:H,5,Gastos!B:B,"Combustible")</f>
        <v>0</v>
      </c>
      <c r="G28" s="15">
        <f>SUMIFS(Gastos!D:D,Gastos!G:G,$B$3,Gastos!F:F,$B$2,Gastos!H:H,5,Gastos!B:B,"Sueldos")</f>
        <v>0</v>
      </c>
      <c r="H28" s="15">
        <f>SUMIFS(Gastos!D:D,Gastos!G:G,$B$3,Gastos!F:F,$B$2,Gastos!H:H,5,Gastos!B:B,"Otros")</f>
        <v>0</v>
      </c>
      <c r="I28" s="15">
        <f t="shared" si="2"/>
        <v>0</v>
      </c>
      <c r="J28" s="15">
        <f t="shared" si="3"/>
        <v>0</v>
      </c>
      <c r="K28" s="15">
        <f t="shared" si="4"/>
        <v>0</v>
      </c>
    </row>
    <row r="29" ht="15.75" customHeight="1">
      <c r="A29" s="15" t="s">
        <v>348</v>
      </c>
      <c r="B29" s="15">
        <f>SUMIFS(Servicios!G:G,Servicios!L:L,$B$3,Servicios!K:K,$B$2,Servicios!M:M,5)</f>
        <v>0</v>
      </c>
      <c r="D29" s="15">
        <f t="shared" si="1"/>
        <v>0</v>
      </c>
      <c r="E29" s="15">
        <f>SUMIFS(Gastos!D:D,Gastos!G:G,$B$3,Gastos!F:F,$B$2,Gastos!H:H,5,Gastos!B:B,"Insumos")</f>
        <v>0</v>
      </c>
      <c r="F29" s="15">
        <f>SUMIFS(Gastos!D:D,Gastos!G:G,$B$3,Gastos!F:F,$B$2,Gastos!H:H,5,Gastos!B:B,"Combustible")</f>
        <v>0</v>
      </c>
      <c r="G29" s="15">
        <f>SUMIFS(Gastos!D:D,Gastos!G:G,$B$3,Gastos!F:F,$B$2,Gastos!H:H,5,Gastos!B:B,"Sueldos")</f>
        <v>0</v>
      </c>
      <c r="H29" s="15">
        <f>SUMIFS(Gastos!D:D,Gastos!G:G,$B$3,Gastos!F:F,$B$2,Gastos!H:H,5,Gastos!B:B,"Otros")</f>
        <v>0</v>
      </c>
      <c r="I29" s="15">
        <f t="shared" si="2"/>
        <v>0</v>
      </c>
      <c r="J29" s="15">
        <f t="shared" si="3"/>
        <v>0</v>
      </c>
      <c r="K29" s="15">
        <f t="shared" si="4"/>
        <v>0</v>
      </c>
    </row>
    <row r="30" ht="15.75" customHeight="1">
      <c r="A30" s="15" t="s">
        <v>349</v>
      </c>
      <c r="B30" s="15">
        <f>SUMIFS(Servicios!G:G,Servicios!L:L,$B$3,Servicios!K:K,$B$2,Servicios!M:M,5)</f>
        <v>0</v>
      </c>
      <c r="D30" s="15">
        <f t="shared" si="1"/>
        <v>0</v>
      </c>
      <c r="E30" s="15">
        <f>SUMIFS(Gastos!D:D,Gastos!G:G,$B$3,Gastos!F:F,$B$2,Gastos!H:H,5,Gastos!B:B,"Insumos")</f>
        <v>0</v>
      </c>
      <c r="F30" s="15">
        <f>SUMIFS(Gastos!D:D,Gastos!G:G,$B$3,Gastos!F:F,$B$2,Gastos!H:H,5,Gastos!B:B,"Combustible")</f>
        <v>0</v>
      </c>
      <c r="G30" s="15">
        <f>SUMIFS(Gastos!D:D,Gastos!G:G,$B$3,Gastos!F:F,$B$2,Gastos!H:H,5,Gastos!B:B,"Sueldos")</f>
        <v>0</v>
      </c>
      <c r="H30" s="15">
        <f>SUMIFS(Gastos!D:D,Gastos!G:G,$B$3,Gastos!F:F,$B$2,Gastos!H:H,5,Gastos!B:B,"Otros")</f>
        <v>0</v>
      </c>
      <c r="I30" s="15">
        <f t="shared" si="2"/>
        <v>0</v>
      </c>
      <c r="J30" s="15">
        <f t="shared" si="3"/>
        <v>0</v>
      </c>
      <c r="K30" s="15">
        <f t="shared" si="4"/>
        <v>0</v>
      </c>
    </row>
    <row r="31" ht="15.75" customHeight="1">
      <c r="A31" s="15" t="s">
        <v>350</v>
      </c>
      <c r="B31" s="15">
        <f>SUMIFS(Servicios!G:G,Servicios!L:L,$B$3,Servicios!K:K,$B$2,Servicios!M:M,5)</f>
        <v>0</v>
      </c>
      <c r="D31" s="15">
        <f t="shared" si="1"/>
        <v>0</v>
      </c>
      <c r="E31" s="15">
        <f>SUMIFS(Gastos!D:D,Gastos!G:G,$B$3,Gastos!F:F,$B$2,Gastos!H:H,5,Gastos!B:B,"Insumos")</f>
        <v>0</v>
      </c>
      <c r="F31" s="15">
        <f>SUMIFS(Gastos!D:D,Gastos!G:G,$B$3,Gastos!F:F,$B$2,Gastos!H:H,5,Gastos!B:B,"Combustible")</f>
        <v>0</v>
      </c>
      <c r="G31" s="15">
        <f>SUMIFS(Gastos!D:D,Gastos!G:G,$B$3,Gastos!F:F,$B$2,Gastos!H:H,5,Gastos!B:B,"Sueldos")</f>
        <v>0</v>
      </c>
      <c r="H31" s="15">
        <f>SUMIFS(Gastos!D:D,Gastos!G:G,$B$3,Gastos!F:F,$B$2,Gastos!H:H,5,Gastos!B:B,"Otros")</f>
        <v>0</v>
      </c>
      <c r="I31" s="15">
        <f t="shared" si="2"/>
        <v>0</v>
      </c>
      <c r="J31" s="15">
        <f t="shared" si="3"/>
        <v>0</v>
      </c>
      <c r="K31" s="15">
        <f t="shared" si="4"/>
        <v>0</v>
      </c>
    </row>
    <row r="32" ht="15.75" customHeight="1">
      <c r="A32" s="15" t="s">
        <v>351</v>
      </c>
      <c r="B32" s="15">
        <f>SUMIFS(Servicios!G:G,Servicios!L:L,$B$3,Servicios!K:K,$B$2,Servicios!M:M,5)</f>
        <v>0</v>
      </c>
      <c r="D32" s="15">
        <f t="shared" si="1"/>
        <v>0</v>
      </c>
      <c r="E32" s="15">
        <f>SUMIFS(Gastos!D:D,Gastos!G:G,$B$3,Gastos!F:F,$B$2,Gastos!H:H,5,Gastos!B:B,"Insumos")</f>
        <v>0</v>
      </c>
      <c r="F32" s="15">
        <f>SUMIFS(Gastos!D:D,Gastos!G:G,$B$3,Gastos!F:F,$B$2,Gastos!H:H,5,Gastos!B:B,"Combustible")</f>
        <v>0</v>
      </c>
      <c r="G32" s="15">
        <f>SUMIFS(Gastos!D:D,Gastos!G:G,$B$3,Gastos!F:F,$B$2,Gastos!H:H,5,Gastos!B:B,"Sueldos")</f>
        <v>0</v>
      </c>
      <c r="H32" s="15">
        <f>SUMIFS(Gastos!D:D,Gastos!G:G,$B$3,Gastos!F:F,$B$2,Gastos!H:H,5,Gastos!B:B,"Otros")</f>
        <v>0</v>
      </c>
      <c r="I32" s="15">
        <f t="shared" si="2"/>
        <v>0</v>
      </c>
      <c r="J32" s="15">
        <f t="shared" si="3"/>
        <v>0</v>
      </c>
      <c r="K32" s="15">
        <f t="shared" si="4"/>
        <v>0</v>
      </c>
    </row>
    <row r="33" ht="15.75" customHeight="1">
      <c r="A33" s="15" t="s">
        <v>352</v>
      </c>
      <c r="B33" s="15">
        <f>SUMIFS(Servicios!G:G,Servicios!L:L,$B$3,Servicios!K:K,$B$2,Servicios!M:M,5)</f>
        <v>0</v>
      </c>
      <c r="D33" s="15">
        <f t="shared" si="1"/>
        <v>0</v>
      </c>
      <c r="E33" s="15">
        <f>SUMIFS(Gastos!D:D,Gastos!G:G,$B$3,Gastos!F:F,$B$2,Gastos!H:H,5,Gastos!B:B,"Insumos")</f>
        <v>0</v>
      </c>
      <c r="F33" s="15">
        <f>SUMIFS(Gastos!D:D,Gastos!G:G,$B$3,Gastos!F:F,$B$2,Gastos!H:H,5,Gastos!B:B,"Combustible")</f>
        <v>0</v>
      </c>
      <c r="G33" s="15">
        <f>SUMIFS(Gastos!D:D,Gastos!G:G,$B$3,Gastos!F:F,$B$2,Gastos!H:H,5,Gastos!B:B,"Sueldos")</f>
        <v>0</v>
      </c>
      <c r="H33" s="15">
        <f>SUMIFS(Gastos!D:D,Gastos!G:G,$B$3,Gastos!F:F,$B$2,Gastos!H:H,5,Gastos!B:B,"Otros")</f>
        <v>0</v>
      </c>
      <c r="I33" s="15">
        <f t="shared" si="2"/>
        <v>0</v>
      </c>
      <c r="J33" s="15">
        <f t="shared" si="3"/>
        <v>0</v>
      </c>
      <c r="K33" s="15">
        <f t="shared" si="4"/>
        <v>0</v>
      </c>
    </row>
    <row r="34" ht="15.75" customHeight="1">
      <c r="A34" s="15" t="s">
        <v>353</v>
      </c>
      <c r="B34" s="15">
        <f>SUMIFS(Servicios!G:G,Servicios!L:L,$B$3,Servicios!K:K,$B$2,Servicios!M:M,5)</f>
        <v>0</v>
      </c>
      <c r="D34" s="15">
        <f t="shared" si="1"/>
        <v>0</v>
      </c>
      <c r="E34" s="15">
        <f>SUMIFS(Gastos!D:D,Gastos!G:G,$B$3,Gastos!F:F,$B$2,Gastos!H:H,5,Gastos!B:B,"Insumos")</f>
        <v>0</v>
      </c>
      <c r="F34" s="15">
        <f>SUMIFS(Gastos!D:D,Gastos!G:G,$B$3,Gastos!F:F,$B$2,Gastos!H:H,5,Gastos!B:B,"Combustible")</f>
        <v>0</v>
      </c>
      <c r="G34" s="15">
        <f>SUMIFS(Gastos!D:D,Gastos!G:G,$B$3,Gastos!F:F,$B$2,Gastos!H:H,5,Gastos!B:B,"Sueldos")</f>
        <v>0</v>
      </c>
      <c r="H34" s="15">
        <f>SUMIFS(Gastos!D:D,Gastos!G:G,$B$3,Gastos!F:F,$B$2,Gastos!H:H,5,Gastos!B:B,"Otros")</f>
        <v>0</v>
      </c>
      <c r="I34" s="15">
        <f t="shared" si="2"/>
        <v>0</v>
      </c>
      <c r="J34" s="15">
        <f t="shared" si="3"/>
        <v>0</v>
      </c>
      <c r="K34" s="15">
        <f t="shared" si="4"/>
        <v>0</v>
      </c>
    </row>
    <row r="35" ht="15.75" customHeight="1">
      <c r="A35" s="15" t="s">
        <v>354</v>
      </c>
      <c r="B35" s="15">
        <f>SUMIFS(Servicios!G:G,Servicios!L:L,$B$3,Servicios!K:K,$B$2,Servicios!M:M,5)</f>
        <v>0</v>
      </c>
      <c r="D35" s="15">
        <f t="shared" si="1"/>
        <v>0</v>
      </c>
      <c r="E35" s="15">
        <f>SUMIFS(Gastos!D:D,Gastos!G:G,$B$3,Gastos!F:F,$B$2,Gastos!H:H,5,Gastos!B:B,"Insumos")</f>
        <v>0</v>
      </c>
      <c r="F35" s="15">
        <f>SUMIFS(Gastos!D:D,Gastos!G:G,$B$3,Gastos!F:F,$B$2,Gastos!H:H,5,Gastos!B:B,"Combustible")</f>
        <v>0</v>
      </c>
      <c r="G35" s="15">
        <f>SUMIFS(Gastos!D:D,Gastos!G:G,$B$3,Gastos!F:F,$B$2,Gastos!H:H,5,Gastos!B:B,"Sueldos")</f>
        <v>0</v>
      </c>
      <c r="H35" s="15">
        <f>SUMIFS(Gastos!D:D,Gastos!G:G,$B$3,Gastos!F:F,$B$2,Gastos!H:H,5,Gastos!B:B,"Otros")</f>
        <v>0</v>
      </c>
      <c r="I35" s="15">
        <f t="shared" si="2"/>
        <v>0</v>
      </c>
      <c r="J35" s="15">
        <f t="shared" si="3"/>
        <v>0</v>
      </c>
      <c r="K35" s="15">
        <f t="shared" si="4"/>
        <v>0</v>
      </c>
    </row>
    <row r="36" ht="15.75" customHeight="1">
      <c r="A36" s="15" t="s">
        <v>355</v>
      </c>
      <c r="B36" s="15">
        <f>SUMIFS(Servicios!G:G,Servicios!L:L,$B$3,Servicios!K:K,$B$2,Servicios!M:M,5)</f>
        <v>0</v>
      </c>
      <c r="D36" s="15">
        <f t="shared" si="1"/>
        <v>0</v>
      </c>
      <c r="E36" s="15">
        <f>SUMIFS(Gastos!D:D,Gastos!G:G,$B$3,Gastos!F:F,$B$2,Gastos!H:H,5,Gastos!B:B,"Insumos")</f>
        <v>0</v>
      </c>
      <c r="F36" s="15">
        <f>SUMIFS(Gastos!D:D,Gastos!G:G,$B$3,Gastos!F:F,$B$2,Gastos!H:H,5,Gastos!B:B,"Combustible")</f>
        <v>0</v>
      </c>
      <c r="G36" s="15">
        <f>SUMIFS(Gastos!D:D,Gastos!G:G,$B$3,Gastos!F:F,$B$2,Gastos!H:H,5,Gastos!B:B,"Sueldos")</f>
        <v>0</v>
      </c>
      <c r="H36" s="15">
        <f>SUMIFS(Gastos!D:D,Gastos!G:G,$B$3,Gastos!F:F,$B$2,Gastos!H:H,5,Gastos!B:B,"Otros")</f>
        <v>0</v>
      </c>
      <c r="I36" s="15">
        <f t="shared" si="2"/>
        <v>0</v>
      </c>
      <c r="J36" s="15">
        <f t="shared" si="3"/>
        <v>0</v>
      </c>
      <c r="K36" s="15">
        <f t="shared" si="4"/>
        <v>0</v>
      </c>
    </row>
    <row r="37" ht="15.75" customHeight="1">
      <c r="A37" s="15" t="s">
        <v>356</v>
      </c>
      <c r="B37" s="15">
        <f>SUMIFS(Servicios!G:G,Servicios!L:L,$B$3,Servicios!K:K,$B$2,Servicios!M:M,5)</f>
        <v>0</v>
      </c>
      <c r="D37" s="15">
        <f t="shared" si="1"/>
        <v>0</v>
      </c>
      <c r="E37" s="15">
        <f>SUMIFS(Gastos!D:D,Gastos!G:G,$B$3,Gastos!F:F,$B$2,Gastos!H:H,5,Gastos!B:B,"Insumos")</f>
        <v>0</v>
      </c>
      <c r="F37" s="15">
        <f>SUMIFS(Gastos!D:D,Gastos!G:G,$B$3,Gastos!F:F,$B$2,Gastos!H:H,5,Gastos!B:B,"Combustible")</f>
        <v>0</v>
      </c>
      <c r="G37" s="15">
        <f>SUMIFS(Gastos!D:D,Gastos!G:G,$B$3,Gastos!F:F,$B$2,Gastos!H:H,5,Gastos!B:B,"Sueldos")</f>
        <v>0</v>
      </c>
      <c r="H37" s="15">
        <f>SUMIFS(Gastos!D:D,Gastos!G:G,$B$3,Gastos!F:F,$B$2,Gastos!H:H,5,Gastos!B:B,"Otros")</f>
        <v>0</v>
      </c>
      <c r="I37" s="15">
        <f t="shared" si="2"/>
        <v>0</v>
      </c>
      <c r="J37" s="15">
        <f t="shared" si="3"/>
        <v>0</v>
      </c>
      <c r="K37" s="15">
        <f t="shared" si="4"/>
        <v>0</v>
      </c>
    </row>
    <row r="38" ht="15.75" customHeight="1">
      <c r="A38" s="15" t="s">
        <v>357</v>
      </c>
      <c r="B38" s="15">
        <f>SUMIFS(Servicios!G:G,Servicios!L:L,$B$3,Servicios!K:K,$B$2,Servicios!M:M,5)</f>
        <v>0</v>
      </c>
      <c r="D38" s="15">
        <f t="shared" si="1"/>
        <v>0</v>
      </c>
      <c r="E38" s="15">
        <f>SUMIFS(Gastos!D:D,Gastos!G:G,$B$3,Gastos!F:F,$B$2,Gastos!H:H,5,Gastos!B:B,"Insumos")</f>
        <v>0</v>
      </c>
      <c r="F38" s="15">
        <f>SUMIFS(Gastos!D:D,Gastos!G:G,$B$3,Gastos!F:F,$B$2,Gastos!H:H,5,Gastos!B:B,"Combustible")</f>
        <v>0</v>
      </c>
      <c r="G38" s="15">
        <f>SUMIFS(Gastos!D:D,Gastos!G:G,$B$3,Gastos!F:F,$B$2,Gastos!H:H,5,Gastos!B:B,"Sueldos")</f>
        <v>0</v>
      </c>
      <c r="H38" s="15">
        <f>SUMIFS(Gastos!D:D,Gastos!G:G,$B$3,Gastos!F:F,$B$2,Gastos!H:H,5,Gastos!B:B,"Otros")</f>
        <v>0</v>
      </c>
      <c r="I38" s="15">
        <f t="shared" si="2"/>
        <v>0</v>
      </c>
      <c r="J38" s="15">
        <f t="shared" si="3"/>
        <v>0</v>
      </c>
      <c r="K38" s="15">
        <f t="shared" si="4"/>
        <v>0</v>
      </c>
    </row>
    <row r="39" ht="15.75" customHeight="1">
      <c r="A39" s="15" t="s">
        <v>358</v>
      </c>
      <c r="B39" s="15">
        <f>SUMIFS(Servicios!G:G,Servicios!L:L,$B$3,Servicios!K:K,$B$2,Servicios!M:M,5)</f>
        <v>0</v>
      </c>
      <c r="D39" s="15">
        <f t="shared" si="1"/>
        <v>0</v>
      </c>
      <c r="E39" s="15">
        <f>SUMIFS(Gastos!D:D,Gastos!G:G,$B$3,Gastos!F:F,$B$2,Gastos!H:H,5,Gastos!B:B,"Insumos")</f>
        <v>0</v>
      </c>
      <c r="F39" s="15">
        <f>SUMIFS(Gastos!D:D,Gastos!G:G,$B$3,Gastos!F:F,$B$2,Gastos!H:H,5,Gastos!B:B,"Combustible")</f>
        <v>0</v>
      </c>
      <c r="G39" s="15">
        <f>SUMIFS(Gastos!D:D,Gastos!G:G,$B$3,Gastos!F:F,$B$2,Gastos!H:H,5,Gastos!B:B,"Sueldos")</f>
        <v>0</v>
      </c>
      <c r="H39" s="15">
        <f>SUMIFS(Gastos!D:D,Gastos!G:G,$B$3,Gastos!F:F,$B$2,Gastos!H:H,5,Gastos!B:B,"Otros")</f>
        <v>0</v>
      </c>
      <c r="I39" s="15">
        <f t="shared" si="2"/>
        <v>0</v>
      </c>
      <c r="J39" s="15">
        <f t="shared" si="3"/>
        <v>0</v>
      </c>
      <c r="K39" s="15">
        <f t="shared" si="4"/>
        <v>0</v>
      </c>
    </row>
    <row r="40" ht="15.75" customHeight="1">
      <c r="A40" s="15" t="s">
        <v>359</v>
      </c>
      <c r="B40" s="15">
        <f>SUMIFS(Servicios!G:G,Servicios!L:L,$B$3,Servicios!K:K,$B$2,Servicios!M:M,5)</f>
        <v>0</v>
      </c>
      <c r="D40" s="15">
        <f t="shared" si="1"/>
        <v>0</v>
      </c>
      <c r="E40" s="15">
        <f>SUMIFS(Gastos!D:D,Gastos!G:G,$B$3,Gastos!F:F,$B$2,Gastos!H:H,5,Gastos!B:B,"Insumos")</f>
        <v>0</v>
      </c>
      <c r="F40" s="15">
        <f>SUMIFS(Gastos!D:D,Gastos!G:G,$B$3,Gastos!F:F,$B$2,Gastos!H:H,5,Gastos!B:B,"Combustible")</f>
        <v>0</v>
      </c>
      <c r="G40" s="15">
        <f>SUMIFS(Gastos!D:D,Gastos!G:G,$B$3,Gastos!F:F,$B$2,Gastos!H:H,5,Gastos!B:B,"Sueldos")</f>
        <v>0</v>
      </c>
      <c r="H40" s="15">
        <f>SUMIFS(Gastos!D:D,Gastos!G:G,$B$3,Gastos!F:F,$B$2,Gastos!H:H,5,Gastos!B:B,"Otros")</f>
        <v>0</v>
      </c>
      <c r="I40" s="15">
        <f t="shared" si="2"/>
        <v>0</v>
      </c>
      <c r="J40" s="15">
        <f t="shared" si="3"/>
        <v>0</v>
      </c>
      <c r="K40" s="15">
        <f t="shared" si="4"/>
        <v>0</v>
      </c>
    </row>
    <row r="41" ht="15.75" customHeight="1">
      <c r="A41" s="15" t="s">
        <v>360</v>
      </c>
      <c r="B41" s="15">
        <f>SUMIFS(Servicios!G:G,Servicios!L:L,$B$3,Servicios!K:K,$B$2,Servicios!M:M,5)</f>
        <v>0</v>
      </c>
      <c r="D41" s="15">
        <f t="shared" si="1"/>
        <v>0</v>
      </c>
      <c r="E41" s="15">
        <f>SUMIFS(Gastos!D:D,Gastos!G:G,$B$3,Gastos!F:F,$B$2,Gastos!H:H,5,Gastos!B:B,"Insumos")</f>
        <v>0</v>
      </c>
      <c r="F41" s="15">
        <f>SUMIFS(Gastos!D:D,Gastos!G:G,$B$3,Gastos!F:F,$B$2,Gastos!H:H,5,Gastos!B:B,"Combustible")</f>
        <v>0</v>
      </c>
      <c r="G41" s="15">
        <f>SUMIFS(Gastos!D:D,Gastos!G:G,$B$3,Gastos!F:F,$B$2,Gastos!H:H,5,Gastos!B:B,"Sueldos")</f>
        <v>0</v>
      </c>
      <c r="H41" s="15">
        <f>SUMIFS(Gastos!D:D,Gastos!G:G,$B$3,Gastos!F:F,$B$2,Gastos!H:H,5,Gastos!B:B,"Otros")</f>
        <v>0</v>
      </c>
      <c r="I41" s="15">
        <f t="shared" si="2"/>
        <v>0</v>
      </c>
      <c r="J41" s="15">
        <f t="shared" si="3"/>
        <v>0</v>
      </c>
      <c r="K41" s="15">
        <f t="shared" si="4"/>
        <v>0</v>
      </c>
    </row>
    <row r="42" ht="15.75" customHeight="1">
      <c r="A42" s="15" t="s">
        <v>361</v>
      </c>
      <c r="B42" s="15">
        <f>SUMIFS(Servicios!G:G,Servicios!L:L,$B$3,Servicios!K:K,$B$2,Servicios!M:M,5)</f>
        <v>0</v>
      </c>
      <c r="D42" s="15">
        <f t="shared" si="1"/>
        <v>0</v>
      </c>
      <c r="E42" s="15">
        <f>SUMIFS(Gastos!D:D,Gastos!G:G,$B$3,Gastos!F:F,$B$2,Gastos!H:H,5,Gastos!B:B,"Insumos")</f>
        <v>0</v>
      </c>
      <c r="F42" s="15">
        <f>SUMIFS(Gastos!D:D,Gastos!G:G,$B$3,Gastos!F:F,$B$2,Gastos!H:H,5,Gastos!B:B,"Combustible")</f>
        <v>0</v>
      </c>
      <c r="G42" s="15">
        <f>SUMIFS(Gastos!D:D,Gastos!G:G,$B$3,Gastos!F:F,$B$2,Gastos!H:H,5,Gastos!B:B,"Sueldos")</f>
        <v>0</v>
      </c>
      <c r="H42" s="15">
        <f>SUMIFS(Gastos!D:D,Gastos!G:G,$B$3,Gastos!F:F,$B$2,Gastos!H:H,5,Gastos!B:B,"Otros")</f>
        <v>0</v>
      </c>
      <c r="I42" s="15">
        <f t="shared" si="2"/>
        <v>0</v>
      </c>
      <c r="J42" s="15">
        <f t="shared" si="3"/>
        <v>0</v>
      </c>
      <c r="K42" s="15">
        <f t="shared" si="4"/>
        <v>0</v>
      </c>
    </row>
    <row r="43" ht="15.75" customHeight="1">
      <c r="A43" s="15" t="s">
        <v>362</v>
      </c>
      <c r="B43" s="15">
        <f>SUMIFS(Servicios!G:G,Servicios!L:L,$B$3,Servicios!K:K,$B$2,Servicios!M:M,5)</f>
        <v>0</v>
      </c>
      <c r="D43" s="15">
        <f t="shared" si="1"/>
        <v>0</v>
      </c>
      <c r="E43" s="15">
        <f>SUMIFS(Gastos!D:D,Gastos!G:G,$B$3,Gastos!F:F,$B$2,Gastos!H:H,5,Gastos!B:B,"Insumos")</f>
        <v>0</v>
      </c>
      <c r="F43" s="15">
        <f>SUMIFS(Gastos!D:D,Gastos!G:G,$B$3,Gastos!F:F,$B$2,Gastos!H:H,5,Gastos!B:B,"Combustible")</f>
        <v>0</v>
      </c>
      <c r="G43" s="15">
        <f>SUMIFS(Gastos!D:D,Gastos!G:G,$B$3,Gastos!F:F,$B$2,Gastos!H:H,5,Gastos!B:B,"Sueldos")</f>
        <v>0</v>
      </c>
      <c r="H43" s="15">
        <f>SUMIFS(Gastos!D:D,Gastos!G:G,$B$3,Gastos!F:F,$B$2,Gastos!H:H,5,Gastos!B:B,"Otros")</f>
        <v>0</v>
      </c>
      <c r="I43" s="15">
        <f t="shared" si="2"/>
        <v>0</v>
      </c>
      <c r="J43" s="15">
        <f t="shared" si="3"/>
        <v>0</v>
      </c>
      <c r="K43" s="15">
        <f t="shared" si="4"/>
        <v>0</v>
      </c>
    </row>
    <row r="44" ht="15.75" customHeight="1">
      <c r="A44" s="15" t="s">
        <v>363</v>
      </c>
      <c r="B44" s="15">
        <f>SUMIFS(Servicios!G:G,Servicios!L:L,$B$3,Servicios!K:K,$B$2,Servicios!M:M,5)</f>
        <v>0</v>
      </c>
      <c r="D44" s="15">
        <f t="shared" si="1"/>
        <v>0</v>
      </c>
      <c r="E44" s="15">
        <f>SUMIFS(Gastos!D:D,Gastos!G:G,$B$3,Gastos!F:F,$B$2,Gastos!H:H,5,Gastos!B:B,"Insumos")</f>
        <v>0</v>
      </c>
      <c r="F44" s="15">
        <f>SUMIFS(Gastos!D:D,Gastos!G:G,$B$3,Gastos!F:F,$B$2,Gastos!H:H,5,Gastos!B:B,"Combustible")</f>
        <v>0</v>
      </c>
      <c r="G44" s="15">
        <f>SUMIFS(Gastos!D:D,Gastos!G:G,$B$3,Gastos!F:F,$B$2,Gastos!H:H,5,Gastos!B:B,"Sueldos")</f>
        <v>0</v>
      </c>
      <c r="H44" s="15">
        <f>SUMIFS(Gastos!D:D,Gastos!G:G,$B$3,Gastos!F:F,$B$2,Gastos!H:H,5,Gastos!B:B,"Otros")</f>
        <v>0</v>
      </c>
      <c r="I44" s="15">
        <f t="shared" si="2"/>
        <v>0</v>
      </c>
      <c r="J44" s="15">
        <f t="shared" si="3"/>
        <v>0</v>
      </c>
      <c r="K44" s="15">
        <f t="shared" si="4"/>
        <v>0</v>
      </c>
    </row>
    <row r="45" ht="15.75" customHeight="1">
      <c r="A45" s="15" t="s">
        <v>364</v>
      </c>
      <c r="B45" s="15">
        <f>SUMIFS(Servicios!G:G,Servicios!L:L,$B$3,Servicios!K:K,$B$2,Servicios!M:M,5)</f>
        <v>0</v>
      </c>
      <c r="D45" s="15">
        <f t="shared" si="1"/>
        <v>0</v>
      </c>
      <c r="E45" s="15">
        <f>SUMIFS(Gastos!D:D,Gastos!G:G,$B$3,Gastos!F:F,$B$2,Gastos!H:H,5,Gastos!B:B,"Insumos")</f>
        <v>0</v>
      </c>
      <c r="F45" s="15">
        <f>SUMIFS(Gastos!D:D,Gastos!G:G,$B$3,Gastos!F:F,$B$2,Gastos!H:H,5,Gastos!B:B,"Combustible")</f>
        <v>0</v>
      </c>
      <c r="G45" s="15">
        <f>SUMIFS(Gastos!D:D,Gastos!G:G,$B$3,Gastos!F:F,$B$2,Gastos!H:H,5,Gastos!B:B,"Sueldos")</f>
        <v>0</v>
      </c>
      <c r="H45" s="15">
        <f>SUMIFS(Gastos!D:D,Gastos!G:G,$B$3,Gastos!F:F,$B$2,Gastos!H:H,5,Gastos!B:B,"Otros")</f>
        <v>0</v>
      </c>
      <c r="I45" s="15">
        <f t="shared" si="2"/>
        <v>0</v>
      </c>
      <c r="J45" s="15">
        <f t="shared" si="3"/>
        <v>0</v>
      </c>
      <c r="K45" s="15">
        <f t="shared" si="4"/>
        <v>0</v>
      </c>
    </row>
    <row r="46" ht="15.75" customHeight="1">
      <c r="A46" s="15" t="s">
        <v>365</v>
      </c>
      <c r="B46" s="15">
        <f>SUMIFS(Servicios!G:G,Servicios!L:L,$B$3,Servicios!K:K,$B$2,Servicios!M:M,5)</f>
        <v>0</v>
      </c>
      <c r="D46" s="15">
        <f t="shared" si="1"/>
        <v>0</v>
      </c>
      <c r="E46" s="15">
        <f>SUMIFS(Gastos!D:D,Gastos!G:G,$B$3,Gastos!F:F,$B$2,Gastos!H:H,5,Gastos!B:B,"Insumos")</f>
        <v>0</v>
      </c>
      <c r="F46" s="15">
        <f>SUMIFS(Gastos!D:D,Gastos!G:G,$B$3,Gastos!F:F,$B$2,Gastos!H:H,5,Gastos!B:B,"Combustible")</f>
        <v>0</v>
      </c>
      <c r="G46" s="15">
        <f>SUMIFS(Gastos!D:D,Gastos!G:G,$B$3,Gastos!F:F,$B$2,Gastos!H:H,5,Gastos!B:B,"Sueldos")</f>
        <v>0</v>
      </c>
      <c r="H46" s="15">
        <f>SUMIFS(Gastos!D:D,Gastos!G:G,$B$3,Gastos!F:F,$B$2,Gastos!H:H,5,Gastos!B:B,"Otros")</f>
        <v>0</v>
      </c>
      <c r="I46" s="15">
        <f t="shared" si="2"/>
        <v>0</v>
      </c>
      <c r="J46" s="15">
        <f t="shared" si="3"/>
        <v>0</v>
      </c>
      <c r="K46" s="15">
        <f t="shared" si="4"/>
        <v>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18.0"/>
    <col customWidth="1" min="13" max="26" width="8.71"/>
  </cols>
  <sheetData>
    <row r="1">
      <c r="A1" s="43" t="s">
        <v>314</v>
      </c>
      <c r="B1" s="43" t="s">
        <v>11</v>
      </c>
      <c r="C1" s="43" t="s">
        <v>315</v>
      </c>
      <c r="D1" s="43" t="s">
        <v>316</v>
      </c>
      <c r="E1" s="43" t="s">
        <v>317</v>
      </c>
      <c r="F1" s="43" t="s">
        <v>318</v>
      </c>
      <c r="G1" s="43" t="s">
        <v>299</v>
      </c>
      <c r="H1" s="43" t="s">
        <v>319</v>
      </c>
      <c r="I1" s="43" t="s">
        <v>320</v>
      </c>
      <c r="J1" s="43" t="s">
        <v>321</v>
      </c>
      <c r="K1" s="43" t="s">
        <v>322</v>
      </c>
      <c r="L1" s="43" t="s">
        <v>323</v>
      </c>
    </row>
    <row r="2">
      <c r="A2" s="15" t="s">
        <v>12</v>
      </c>
      <c r="B2" s="15">
        <v>2025.0</v>
      </c>
    </row>
    <row r="3">
      <c r="A3" s="15">
        <v>2.0</v>
      </c>
      <c r="B3" s="15" t="s">
        <v>366</v>
      </c>
    </row>
    <row r="4">
      <c r="A4" s="15" t="s">
        <v>367</v>
      </c>
      <c r="B4" s="15" t="s">
        <v>368</v>
      </c>
    </row>
    <row r="5">
      <c r="A5" s="15">
        <v>4.0</v>
      </c>
      <c r="B5" s="15" t="s">
        <v>369</v>
      </c>
    </row>
    <row r="6">
      <c r="A6" s="15">
        <v>5.0</v>
      </c>
      <c r="B6" s="15" t="s">
        <v>370</v>
      </c>
      <c r="C6" s="15">
        <f>SUMIFS(Servicios!G:G,Servicios!L:L,$B$2,Servicios!K:K,A6)</f>
        <v>0</v>
      </c>
      <c r="E6" s="15">
        <f t="shared" ref="E6:E17" si="1">C6+D6</f>
        <v>0</v>
      </c>
      <c r="F6" s="15">
        <f>SUMIFS(Gastos!D:D,Gastos!G:G,$B$2,Gastos!F:F,A6,Gastos!B:B,"Insumos")</f>
        <v>0</v>
      </c>
      <c r="G6" s="15">
        <f>SUMIFS(Gastos!D:D,Gastos!G:G,$B$2,Gastos!F:F,A6,Gastos!B:B,"Combustible")</f>
        <v>0</v>
      </c>
      <c r="H6" s="15">
        <f>SUMIFS(Gastos!D:D,Gastos!G:G,$B$2,Gastos!F:F,A6,Gastos!B:B,"Sueldos")</f>
        <v>0</v>
      </c>
      <c r="I6" s="15">
        <f>SUMIFS(Gastos!D:D,Gastos!G:G,$B$2,Gastos!F:F,A6,Gastos!B:B,"Otros")</f>
        <v>0</v>
      </c>
      <c r="J6" s="15">
        <f t="shared" ref="J6:J17" si="2">F6+G6+H6+I6</f>
        <v>0</v>
      </c>
      <c r="K6" s="15">
        <f t="shared" ref="K6:K17" si="3">E6-J6</f>
        <v>0</v>
      </c>
      <c r="L6" s="15">
        <f>K6</f>
        <v>0</v>
      </c>
    </row>
    <row r="7">
      <c r="A7" s="15">
        <v>6.0</v>
      </c>
      <c r="B7" s="15" t="s">
        <v>371</v>
      </c>
      <c r="C7" s="15">
        <f>SUMIFS(Servicios!G:G,Servicios!L:L,$B$2,Servicios!K:K,A7)</f>
        <v>0</v>
      </c>
      <c r="E7" s="15">
        <f t="shared" si="1"/>
        <v>0</v>
      </c>
      <c r="F7" s="15">
        <f>SUMIFS(Gastos!D:D,Gastos!G:G,$B$2,Gastos!F:F,A7,Gastos!B:B,"Insumos")</f>
        <v>0</v>
      </c>
      <c r="G7" s="15">
        <f>SUMIFS(Gastos!D:D,Gastos!G:G,$B$2,Gastos!F:F,A7,Gastos!B:B,"Combustible")</f>
        <v>0</v>
      </c>
      <c r="H7" s="15">
        <f>SUMIFS(Gastos!D:D,Gastos!G:G,$B$2,Gastos!F:F,A7,Gastos!B:B,"Sueldos")</f>
        <v>0</v>
      </c>
      <c r="I7" s="15">
        <f>SUMIFS(Gastos!D:D,Gastos!G:G,$B$2,Gastos!F:F,A7,Gastos!B:B,"Otros")</f>
        <v>0</v>
      </c>
      <c r="J7" s="15">
        <f t="shared" si="2"/>
        <v>0</v>
      </c>
      <c r="K7" s="15">
        <f t="shared" si="3"/>
        <v>0</v>
      </c>
      <c r="L7" s="15">
        <f t="shared" ref="L7:L17" si="4">L6+K7</f>
        <v>0</v>
      </c>
    </row>
    <row r="8">
      <c r="A8" s="15">
        <v>7.0</v>
      </c>
      <c r="B8" s="15" t="s">
        <v>372</v>
      </c>
      <c r="C8" s="15">
        <f>SUMIFS(Servicios!H:H,Servicios!M:M,$B$2,Servicios!L:L,A8)</f>
        <v>0</v>
      </c>
      <c r="E8" s="15">
        <f t="shared" si="1"/>
        <v>0</v>
      </c>
      <c r="F8" s="15">
        <f>SUMIFS(Gastos!D:D,Gastos!G:G,$B$2,Gastos!F:F,A8,Gastos!B:B,"Insumos")</f>
        <v>0</v>
      </c>
      <c r="G8" s="15">
        <f>SUMIFS(Gastos!D:D,Gastos!G:G,$B$2,Gastos!F:F,A8,Gastos!B:B,"Combustible")</f>
        <v>0</v>
      </c>
      <c r="H8" s="15">
        <f>SUMIFS(Gastos!D:D,Gastos!G:G,$B$2,Gastos!F:F,A8,Gastos!B:B,"Sueldos")</f>
        <v>0</v>
      </c>
      <c r="I8" s="15">
        <f>SUMIFS(Gastos!D:D,Gastos!G:G,$B$2,Gastos!F:F,A8,Gastos!B:B,"Otros")</f>
        <v>0</v>
      </c>
      <c r="J8" s="15">
        <f t="shared" si="2"/>
        <v>0</v>
      </c>
      <c r="K8" s="15">
        <f t="shared" si="3"/>
        <v>0</v>
      </c>
      <c r="L8" s="15">
        <f t="shared" si="4"/>
        <v>0</v>
      </c>
    </row>
    <row r="9">
      <c r="A9" s="44">
        <v>45870.0</v>
      </c>
      <c r="B9" s="45">
        <v>45870.0</v>
      </c>
      <c r="C9" s="15">
        <f>SUMIFS(Servicios!H:H,Servicios!O:O,A9)</f>
        <v>65000</v>
      </c>
      <c r="E9" s="15">
        <f t="shared" si="1"/>
        <v>65000</v>
      </c>
      <c r="F9" s="15">
        <f>SUMIFS(Gastos!D:D,Gastos!G:G,$B$2,Gastos!F:F,A9,Gastos!B:B,"Insumos")</f>
        <v>0</v>
      </c>
      <c r="G9" s="15">
        <f>SUMIFS(Gastos!D:D,Gastos!G:G,$B$2,Gastos!F:F,A9,Gastos!B:B,"Combustible")</f>
        <v>0</v>
      </c>
      <c r="H9" s="15">
        <f>SUMIFS(Gastos!D:D,Gastos!G:G,$B$2,Gastos!F:F,A9,Gastos!B:B,"Sueldos")</f>
        <v>0</v>
      </c>
      <c r="I9" s="15">
        <f>SUMIFS(Gastos!D:D,Gastos!G:G,$B$2,Gastos!F:F,A9,Gastos!B:B,"Otros")</f>
        <v>0</v>
      </c>
      <c r="J9" s="15">
        <f t="shared" si="2"/>
        <v>0</v>
      </c>
      <c r="K9" s="15">
        <f t="shared" si="3"/>
        <v>65000</v>
      </c>
      <c r="L9" s="15">
        <f t="shared" si="4"/>
        <v>65000</v>
      </c>
    </row>
    <row r="10">
      <c r="A10" s="44">
        <v>45901.0</v>
      </c>
      <c r="B10" s="45">
        <v>45901.0</v>
      </c>
      <c r="C10" s="15">
        <f>SUMIFS(Servicios!H:H,Servicios!O:O,A10)</f>
        <v>425540</v>
      </c>
      <c r="E10" s="15">
        <f t="shared" si="1"/>
        <v>425540</v>
      </c>
      <c r="F10" s="15">
        <f>SUMIFS(Gastos!D:D,Gastos!G:G,$B$2,Gastos!F:F,A10,Gastos!B:B,"Insumos")</f>
        <v>0</v>
      </c>
      <c r="G10" s="15">
        <f>SUMIFS(Gastos!D:D,Gastos!G:G,$B$2,Gastos!F:F,A10,Gastos!B:B,"Combustible")</f>
        <v>0</v>
      </c>
      <c r="H10" s="15">
        <f>SUMIFS(Gastos!D:D,Gastos!G:G,$B$2,Gastos!F:F,A10,Gastos!B:B,"Sueldos")</f>
        <v>0</v>
      </c>
      <c r="I10" s="15">
        <f>SUMIFS(Gastos!D:D,Gastos!G:G,$B$2,Gastos!F:F,A10,Gastos!B:B,"Otros")</f>
        <v>0</v>
      </c>
      <c r="J10" s="15">
        <f t="shared" si="2"/>
        <v>0</v>
      </c>
      <c r="K10" s="15">
        <f t="shared" si="3"/>
        <v>425540</v>
      </c>
      <c r="L10" s="15">
        <f t="shared" si="4"/>
        <v>490540</v>
      </c>
    </row>
    <row r="11">
      <c r="A11" s="44">
        <v>45931.0</v>
      </c>
      <c r="B11" s="45">
        <v>45931.0</v>
      </c>
      <c r="C11" s="15">
        <f>SUMIFS(Servicios!H:H,Servicios!O:O,A11)</f>
        <v>1375100</v>
      </c>
      <c r="E11" s="15">
        <f t="shared" si="1"/>
        <v>1375100</v>
      </c>
      <c r="F11" s="15">
        <f>SUMIFS(Gastos!D:D,Gastos!G:G,$B$2,Gastos!F:F,A11,Gastos!B:B,"Insumos")</f>
        <v>0</v>
      </c>
      <c r="G11" s="15">
        <f>SUMIFS(Gastos!D:D,Gastos!G:G,$B$2,Gastos!F:F,A11,Gastos!B:B,"Combustible")</f>
        <v>0</v>
      </c>
      <c r="H11" s="15">
        <f>SUMIFS(Gastos!D:D,Gastos!G:G,$B$2,Gastos!F:F,A11,Gastos!B:B,"Sueldos")</f>
        <v>0</v>
      </c>
      <c r="I11" s="15">
        <f>SUMIFS(Gastos!D:D,Gastos!G:G,$B$2,Gastos!F:F,A11,Gastos!B:B,"Otros")</f>
        <v>0</v>
      </c>
      <c r="J11" s="15">
        <f t="shared" si="2"/>
        <v>0</v>
      </c>
      <c r="K11" s="15">
        <f t="shared" si="3"/>
        <v>1375100</v>
      </c>
      <c r="L11" s="15">
        <f t="shared" si="4"/>
        <v>1865640</v>
      </c>
    </row>
    <row r="12">
      <c r="A12" s="44">
        <v>45962.0</v>
      </c>
      <c r="B12" s="45">
        <v>45962.0</v>
      </c>
      <c r="C12" s="15">
        <f>SUMIFS(Servicios!H:H,Servicios!O:O,A12)</f>
        <v>899000</v>
      </c>
      <c r="E12" s="15">
        <f t="shared" si="1"/>
        <v>899000</v>
      </c>
      <c r="F12" s="15">
        <f>SUMIFS(Gastos!D:D,Gastos!G:G,$B$2,Gastos!F:F,A12,Gastos!B:B,"Insumos")</f>
        <v>0</v>
      </c>
      <c r="G12" s="15">
        <f>SUMIFS(Gastos!D:D,Gastos!G:G,$B$2,Gastos!F:F,A12,Gastos!B:B,"Combustible")</f>
        <v>0</v>
      </c>
      <c r="H12" s="15">
        <f>SUMIFS(Gastos!D:D,Gastos!G:G,$B$2,Gastos!F:F,A12,Gastos!B:B,"Sueldos")</f>
        <v>0</v>
      </c>
      <c r="I12" s="15">
        <f>SUMIFS(Gastos!D:D,Gastos!G:G,$B$2,Gastos!F:F,A12,Gastos!B:B,"Otros")</f>
        <v>0</v>
      </c>
      <c r="J12" s="15">
        <f t="shared" si="2"/>
        <v>0</v>
      </c>
      <c r="K12" s="15">
        <f t="shared" si="3"/>
        <v>899000</v>
      </c>
      <c r="L12" s="15">
        <f t="shared" si="4"/>
        <v>2764640</v>
      </c>
    </row>
    <row r="13">
      <c r="A13" s="44">
        <v>45992.0</v>
      </c>
      <c r="B13" s="45">
        <v>45992.0</v>
      </c>
      <c r="C13" s="15">
        <f>SUMIFS(Servicios!H:H,Servicios!O:O,A13)</f>
        <v>1162500</v>
      </c>
      <c r="E13" s="15">
        <f t="shared" si="1"/>
        <v>1162500</v>
      </c>
      <c r="F13" s="15">
        <f>SUMIFS(Gastos!D:D,Gastos!G:G,$B$2,Gastos!F:F,A13,Gastos!B:B,"Insumos")</f>
        <v>0</v>
      </c>
      <c r="G13" s="15">
        <f>SUMIFS(Gastos!D:D,Gastos!G:G,$B$2,Gastos!F:F,A13,Gastos!B:B,"Combustible")</f>
        <v>0</v>
      </c>
      <c r="H13" s="15">
        <f>SUMIFS(Gastos!D:D,Gastos!G:G,$B$2,Gastos!F:F,A13,Gastos!B:B,"Sueldos")</f>
        <v>0</v>
      </c>
      <c r="I13" s="15">
        <f>SUMIFS(Gastos!D:D,Gastos!G:G,$B$2,Gastos!F:F,A13,Gastos!B:B,"Otros")</f>
        <v>0</v>
      </c>
      <c r="J13" s="15">
        <f t="shared" si="2"/>
        <v>0</v>
      </c>
      <c r="K13" s="15">
        <f t="shared" si="3"/>
        <v>1162500</v>
      </c>
      <c r="L13" s="15">
        <f t="shared" si="4"/>
        <v>3927140</v>
      </c>
    </row>
    <row r="14">
      <c r="A14" s="46">
        <v>46023.0</v>
      </c>
      <c r="B14" s="45">
        <v>46023.0</v>
      </c>
      <c r="C14" s="15">
        <f>SUMIFS(Servicios!H:H,Servicios!O:O,A14)</f>
        <v>870400</v>
      </c>
      <c r="E14" s="15">
        <f t="shared" si="1"/>
        <v>870400</v>
      </c>
      <c r="F14" s="15">
        <f>SUMIFS(Gastos!D:D,Gastos!G:G,$B$2,Gastos!F:F,A14,Gastos!B:B,"Insumos")</f>
        <v>0</v>
      </c>
      <c r="G14" s="15">
        <f>SUMIFS(Gastos!D:D,Gastos!G:G,$B$2,Gastos!F:F,A14,Gastos!B:B,"Combustible")</f>
        <v>0</v>
      </c>
      <c r="H14" s="15">
        <f>SUMIFS(Gastos!D:D,Gastos!G:G,$B$2,Gastos!F:F,A14,Gastos!B:B,"Sueldos")</f>
        <v>0</v>
      </c>
      <c r="I14" s="15">
        <f>SUMIFS(Gastos!D:D,Gastos!G:G,$B$2,Gastos!F:F,A14,Gastos!B:B,"Otros")</f>
        <v>0</v>
      </c>
      <c r="J14" s="15">
        <f t="shared" si="2"/>
        <v>0</v>
      </c>
      <c r="K14" s="15">
        <f t="shared" si="3"/>
        <v>870400</v>
      </c>
      <c r="L14" s="15">
        <f t="shared" si="4"/>
        <v>4797540</v>
      </c>
    </row>
    <row r="15">
      <c r="A15" s="44">
        <v>46054.0</v>
      </c>
      <c r="B15" s="45">
        <v>46054.0</v>
      </c>
      <c r="C15" s="15">
        <f>SUMIFS(Servicios!H:H,Servicios!O:O,A15)</f>
        <v>1024600</v>
      </c>
      <c r="E15" s="15">
        <f t="shared" si="1"/>
        <v>1024600</v>
      </c>
      <c r="F15" s="15">
        <f>SUMIFS(Gastos!D:D,Gastos!G:G,$B$2,Gastos!F:F,A15,Gastos!B:B,"Insumos")</f>
        <v>0</v>
      </c>
      <c r="G15" s="15">
        <f>SUMIFS(Gastos!D:D,Gastos!G:G,$B$2,Gastos!F:F,A15,Gastos!B:B,"Combustible")</f>
        <v>0</v>
      </c>
      <c r="H15" s="15">
        <f>SUMIFS(Gastos!D:D,Gastos!G:G,$B$2,Gastos!F:F,A15,Gastos!B:B,"Sueldos")</f>
        <v>0</v>
      </c>
      <c r="I15" s="15">
        <f>SUMIFS(Gastos!D:D,Gastos!G:G,$B$2,Gastos!F:F,A15,Gastos!B:B,"Otros")</f>
        <v>0</v>
      </c>
      <c r="J15" s="15">
        <f t="shared" si="2"/>
        <v>0</v>
      </c>
      <c r="K15" s="15">
        <f t="shared" si="3"/>
        <v>1024600</v>
      </c>
      <c r="L15" s="15">
        <f t="shared" si="4"/>
        <v>5822140</v>
      </c>
    </row>
    <row r="16">
      <c r="A16" s="44">
        <v>46082.0</v>
      </c>
      <c r="B16" s="45">
        <v>46082.0</v>
      </c>
      <c r="C16" s="15">
        <f>SUMIFS(Servicios!H:H,Servicios!O:O,A16)</f>
        <v>518000</v>
      </c>
      <c r="E16" s="15">
        <f t="shared" si="1"/>
        <v>518000</v>
      </c>
      <c r="F16" s="15">
        <f>SUMIFS(Gastos!D:D,Gastos!G:G,$B$2,Gastos!F:F,A16,Gastos!B:B,"Insumos")</f>
        <v>0</v>
      </c>
      <c r="G16" s="15">
        <f>SUMIFS(Gastos!D:D,Gastos!G:G,$B$2,Gastos!F:F,A16,Gastos!B:B,"Combustible")</f>
        <v>0</v>
      </c>
      <c r="H16" s="15">
        <f>SUMIFS(Gastos!D:D,Gastos!G:G,$B$2,Gastos!F:F,A16,Gastos!B:B,"Sueldos")</f>
        <v>0</v>
      </c>
      <c r="I16" s="15">
        <f>SUMIFS(Gastos!D:D,Gastos!G:G,$B$2,Gastos!F:F,A16,Gastos!B:B,"Otros")</f>
        <v>0</v>
      </c>
      <c r="J16" s="15">
        <f t="shared" si="2"/>
        <v>0</v>
      </c>
      <c r="K16" s="15">
        <f t="shared" si="3"/>
        <v>518000</v>
      </c>
      <c r="L16" s="15">
        <f t="shared" si="4"/>
        <v>6340140</v>
      </c>
    </row>
    <row r="17">
      <c r="A17" s="44">
        <v>46113.0</v>
      </c>
      <c r="B17" s="45">
        <v>46113.0</v>
      </c>
      <c r="C17" s="15">
        <f>SUMIFS(Servicios!H:H,Servicios!O:O,A17)</f>
        <v>195000</v>
      </c>
      <c r="E17" s="15">
        <f t="shared" si="1"/>
        <v>195000</v>
      </c>
      <c r="F17" s="15">
        <f>SUMIFS(Gastos!D:D,Gastos!G:G,$B$2,Gastos!F:F,A17,Gastos!B:B,"Insumos")</f>
        <v>0</v>
      </c>
      <c r="G17" s="15">
        <f>SUMIFS(Gastos!D:D,Gastos!G:G,$B$2,Gastos!F:F,A17,Gastos!B:B,"Combustible")</f>
        <v>0</v>
      </c>
      <c r="H17" s="15">
        <f>SUMIFS(Gastos!D:D,Gastos!G:G,$B$2,Gastos!F:F,A17,Gastos!B:B,"Sueldos")</f>
        <v>0</v>
      </c>
      <c r="I17" s="15">
        <f>SUMIFS(Gastos!D:D,Gastos!G:G,$B$2,Gastos!F:F,A17,Gastos!B:B,"Otros")</f>
        <v>0</v>
      </c>
      <c r="J17" s="15">
        <f t="shared" si="2"/>
        <v>0</v>
      </c>
      <c r="K17" s="15">
        <f t="shared" si="3"/>
        <v>195000</v>
      </c>
      <c r="L17" s="15">
        <f t="shared" si="4"/>
        <v>6535140</v>
      </c>
    </row>
    <row r="19">
      <c r="E19" s="15">
        <f>SUM(E2:E17)</f>
        <v>6535140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7" t="s">
        <v>373</v>
      </c>
      <c r="B1" s="48">
        <f>IFERROR(SUM(Servicios!H:H)/COUNT(Servicios!H:H),0)</f>
        <v>45901.67832</v>
      </c>
    </row>
  </sheetData>
  <drawing r:id="rId1"/>
</worksheet>
</file>